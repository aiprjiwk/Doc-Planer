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QG_Status" sheetId="1" state="visible" r:id="rId1"/>
  </sheets>
  <definedNames>
    <definedName name="_xlnm.Print_Titles" localSheetId="0">'QG_Status'!$1:$3</definedName>
  </definedNames>
  <calcPr calcId="191028" fullCalcOnLoad="1"/>
</workbook>
</file>

<file path=xl/styles.xml><?xml version="1.0" encoding="utf-8"?>
<styleSheet xmlns="http://schemas.openxmlformats.org/spreadsheetml/2006/main">
  <numFmts count="0"/>
  <fonts count="23">
    <font>
      <name val="Calibri"/>
      <charset val="1"/>
      <family val="2"/>
      <color theme="1"/>
      <sz val="11"/>
    </font>
    <font>
      <name val="Calibri"/>
      <family val="2"/>
      <color theme="1"/>
      <sz val="11"/>
      <scheme val="minor"/>
    </font>
    <font>
      <name val="Arial"/>
      <charset val="1"/>
      <b val="1"/>
      <color rgb="FF000000"/>
      <sz val="9"/>
    </font>
    <font>
      <name val="Arial"/>
      <charset val="1"/>
      <color rgb="FF000000"/>
      <sz val="10"/>
    </font>
    <font>
      <name val="Arial"/>
      <charset val="1"/>
      <color rgb="FF0000FF"/>
      <sz val="10"/>
    </font>
    <font>
      <name val="Calibri"/>
      <charset val="1"/>
      <family val="2"/>
      <b val="1"/>
      <color rgb="FFFFFFFF"/>
      <sz val="11"/>
    </font>
    <font>
      <name val="Calibri"/>
      <charset val="1"/>
      <family val="2"/>
      <b val="1"/>
      <color rgb="FFFFFFFF"/>
      <sz val="18"/>
    </font>
    <font>
      <name val="Arial"/>
      <charset val="1"/>
      <b val="1"/>
      <color rgb="FF17365D"/>
      <sz val="9"/>
    </font>
    <font>
      <name val="Arial"/>
      <family val="2"/>
      <color rgb="FF000000"/>
      <sz val="10"/>
    </font>
    <font>
      <name val="Arial"/>
      <family val="2"/>
      <b val="1"/>
      <color rgb="FF000000"/>
      <sz val="9"/>
    </font>
    <font>
      <name val="Arial"/>
      <family val="2"/>
      <color rgb="FF0000FF"/>
      <sz val="10"/>
    </font>
    <font>
      <name val="Arial"/>
      <family val="2"/>
      <b val="1"/>
      <sz val="9"/>
    </font>
    <font>
      <name val="Calibri"/>
      <charset val="1"/>
      <family val="2"/>
      <b val="1"/>
      <sz val="11"/>
    </font>
    <font>
      <name val="Arial"/>
      <family val="2"/>
      <sz val="11"/>
    </font>
    <font>
      <name val="Arial"/>
      <family val="2"/>
      <b val="1"/>
      <i val="1"/>
      <sz val="9"/>
    </font>
    <font>
      <name val="Arial"/>
      <family val="2"/>
      <b val="1"/>
      <color rgb="FF4C1130"/>
      <sz val="9"/>
    </font>
    <font>
      <name val="Arial"/>
      <family val="2"/>
      <b val="1"/>
      <color rgb="FF17365D"/>
      <sz val="9"/>
    </font>
    <font>
      <name val="Arial"/>
      <family val="2"/>
      <color rgb="FF000000"/>
      <sz val="11"/>
    </font>
    <font>
      <name val="Arial"/>
      <family val="2"/>
      <color rgb="FF0000FF"/>
      <sz val="11"/>
    </font>
    <font>
      <name val="Arial"/>
      <family val="2"/>
      <color theme="1"/>
      <sz val="11"/>
    </font>
    <font>
      <name val="Arial"/>
      <charset val="1"/>
      <color theme="1"/>
      <sz val="10"/>
    </font>
    <font>
      <name val="Arial"/>
      <family val="2"/>
      <color theme="1"/>
      <sz val="10"/>
    </font>
    <font>
      <name val="Calibri"/>
      <charset val="1"/>
      <family val="2"/>
      <color rgb="FF000000"/>
      <sz val="11"/>
    </font>
  </fonts>
  <fills count="13">
    <fill>
      <patternFill/>
    </fill>
    <fill>
      <patternFill patternType="gray125"/>
    </fill>
    <fill>
      <patternFill patternType="solid">
        <fgColor rgb="FFFCE4D6"/>
        <bgColor indexed="64"/>
      </patternFill>
    </fill>
    <fill>
      <patternFill patternType="solid">
        <fgColor rgb="FF17365D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D9EAF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FFF9E6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3EDF8"/>
        <bgColor indexed="64"/>
      </patternFill>
    </fill>
  </fills>
  <borders count="46">
    <border>
      <left/>
      <right/>
      <top/>
      <bottom/>
      <diagonal/>
    </border>
    <border>
      <left/>
      <right/>
      <top style="thin">
        <color rgb="FFFFFFFF"/>
      </top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/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/>
      <diagonal/>
    </border>
    <border>
      <left/>
      <right/>
      <top style="thick">
        <color rgb="FF2F5597"/>
      </top>
      <bottom style="thin">
        <color rgb="FFFFFFFF"/>
      </bottom>
      <diagonal/>
    </border>
    <border>
      <left style="thick">
        <color rgb="FFC65911"/>
      </left>
      <right/>
      <top style="thick">
        <color rgb="FFC65911"/>
      </top>
      <bottom style="thin">
        <color rgb="FFFFFFFF"/>
      </bottom>
      <diagonal/>
    </border>
    <border>
      <left/>
      <right/>
      <top style="thick">
        <color rgb="FFC65911"/>
      </top>
      <bottom style="thin">
        <color rgb="FFFFFFFF"/>
      </bottom>
      <diagonal/>
    </border>
    <border>
      <left/>
      <right/>
      <top style="thick">
        <color rgb="FF548235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  <border>
      <left style="thin">
        <color auto="1"/>
      </left>
      <right style="thick">
        <color rgb="FFC65911"/>
      </right>
      <top style="thin">
        <color rgb="FFFFFFFF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rgb="FFC65911"/>
      </right>
      <top style="thin">
        <color auto="1"/>
      </top>
      <bottom style="thin">
        <color auto="1"/>
      </bottom>
      <diagonal/>
    </border>
    <border>
      <left style="thick">
        <color rgb="FFC65911"/>
      </left>
      <right style="thin">
        <color theme="1"/>
      </right>
      <top style="thin">
        <color rgb="FFFFFFFF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rgb="FFFFFFFF"/>
      </top>
      <bottom style="thin">
        <color theme="1"/>
      </bottom>
      <diagonal/>
    </border>
    <border>
      <left style="thick">
        <color rgb="FFC6591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rgb="FFFFFFFF"/>
      </left>
      <right style="thin">
        <color theme="1"/>
      </right>
      <top style="thin">
        <color rgb="FFFFFFFF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rgb="FFFFFFFF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 style="thick">
        <color rgb="FFBF9000"/>
      </left>
      <right/>
      <top style="thick">
        <color rgb="FF548235"/>
      </top>
      <bottom/>
      <diagonal/>
    </border>
    <border>
      <left style="thick">
        <color rgb="FFBF900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ck">
        <color rgb="FFBF9000"/>
      </right>
      <top style="thick">
        <color rgb="FF548235"/>
      </top>
      <bottom/>
      <diagonal/>
    </border>
    <border>
      <left style="thin">
        <color theme="1"/>
      </left>
      <right style="thick">
        <color rgb="FFBF9000"/>
      </right>
      <top style="thin">
        <color theme="1"/>
      </top>
      <bottom style="thin">
        <color theme="1"/>
      </bottom>
      <diagonal/>
    </border>
    <border>
      <left style="thick">
        <color rgb="FF7030A0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ck">
        <color rgb="FF7030A0"/>
      </right>
      <top style="thin">
        <color theme="1"/>
      </top>
      <bottom style="thin">
        <color theme="1"/>
      </bottom>
      <diagonal/>
    </border>
    <border>
      <left style="thick">
        <color rgb="FF7030A0"/>
      </left>
      <right/>
      <top style="thick">
        <color rgb="FFC65911"/>
      </top>
      <bottom/>
      <diagonal/>
    </border>
    <border>
      <left/>
      <right/>
      <top style="thick">
        <color rgb="FFC65911"/>
      </top>
      <bottom/>
      <diagonal/>
    </border>
    <border>
      <left/>
      <right style="thick">
        <color rgb="FF7030A0"/>
      </right>
      <top style="thick">
        <color rgb="FFC65911"/>
      </top>
      <bottom/>
      <diagonal/>
    </border>
    <border>
      <left style="thick">
        <color rgb="FF7030A0"/>
      </left>
      <right style="thin">
        <color theme="1"/>
      </right>
      <top style="thin">
        <color rgb="FFFFFFFF"/>
      </top>
      <bottom style="thick">
        <color rgb="FF7030A0"/>
      </bottom>
      <diagonal/>
    </border>
    <border>
      <left/>
      <right style="thin">
        <color theme="1"/>
      </right>
      <top style="thin">
        <color rgb="FFFFFFFF"/>
      </top>
      <bottom style="thick">
        <color rgb="FF7030A0"/>
      </bottom>
      <diagonal/>
    </border>
    <border>
      <left style="thin">
        <color theme="1"/>
      </left>
      <right style="thin">
        <color theme="1"/>
      </right>
      <top style="thin">
        <color rgb="FFFFFFFF"/>
      </top>
      <bottom style="thick">
        <color rgb="FF7030A0"/>
      </bottom>
      <diagonal/>
    </border>
    <border>
      <left style="thin">
        <color theme="1"/>
      </left>
      <right style="thick">
        <color rgb="FF7030A0"/>
      </right>
      <top style="thin">
        <color rgb="FFFFFFFF"/>
      </top>
      <bottom style="thick">
        <color rgb="FF7030A0"/>
      </bottom>
      <diagonal/>
    </border>
    <border>
      <left style="thick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n">
        <color rgb="FF7030A0"/>
      </left>
      <right style="thin">
        <color rgb="FF7030A0"/>
      </right>
      <top style="thin">
        <color rgb="FF7030A0"/>
      </top>
      <bottom style="thin">
        <color rgb="FF7030A0"/>
      </bottom>
      <diagonal/>
    </border>
    <border>
      <left style="thick">
        <color rgb="FFBF9000"/>
      </left>
      <right style="thick">
        <color rgb="FFBF9000"/>
      </right>
      <top style="thick">
        <color rgb="FF548235"/>
      </top>
      <bottom/>
      <diagonal/>
    </border>
    <border>
      <left/>
      <right/>
      <top style="thick">
        <color rgb="FF2F5597"/>
      </top>
      <bottom/>
      <diagonal/>
    </border>
    <border>
      <left style="thick">
        <color rgb="FF7030A0"/>
      </left>
      <right style="thick">
        <color rgb="FF7030A0"/>
      </right>
      <top style="thick">
        <color rgb="FFC65911"/>
      </top>
      <bottom/>
      <diagonal/>
    </border>
    <border>
      <left/>
      <right style="thin">
        <color rgb="FFFFFFFF"/>
      </right>
      <top/>
      <bottom/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</borders>
  <cellStyleXfs count="2">
    <xf numFmtId="0" fontId="0" fillId="0" borderId="0"/>
    <xf numFmtId="0" fontId="1" fillId="0" borderId="0"/>
  </cellStyleXfs>
  <cellXfs count="108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2" fillId="5" borderId="12" applyAlignment="1" pivotButton="0" quotePrefix="0" xfId="0">
      <alignment horizontal="center" vertical="center" wrapText="1"/>
    </xf>
    <xf numFmtId="0" fontId="7" fillId="5" borderId="19" applyAlignment="1" pivotButton="0" quotePrefix="0" xfId="0">
      <alignment horizontal="center" vertical="center" wrapText="1"/>
    </xf>
    <xf numFmtId="0" fontId="7" fillId="5" borderId="17" applyAlignment="1" pivotButton="0" quotePrefix="0" xfId="0">
      <alignment horizontal="center" vertical="center" wrapText="1"/>
    </xf>
    <xf numFmtId="0" fontId="4" fillId="0" borderId="20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center" vertical="center" wrapText="1"/>
    </xf>
    <xf numFmtId="0" fontId="9" fillId="5" borderId="12" applyAlignment="1" pivotButton="0" quotePrefix="0" xfId="0">
      <alignment horizontal="center" vertical="center" wrapText="1"/>
    </xf>
    <xf numFmtId="0" fontId="3" fillId="0" borderId="11" applyAlignment="1" pivotButton="0" quotePrefix="0" xfId="0">
      <alignment horizontal="center" vertical="center" wrapText="1"/>
    </xf>
    <xf numFmtId="0" fontId="4" fillId="0" borderId="11" applyAlignment="1" pivotButton="0" quotePrefix="0" xfId="0">
      <alignment horizontal="left" vertical="center" wrapText="1"/>
    </xf>
    <xf numFmtId="0" fontId="9" fillId="2" borderId="16" applyAlignment="1" pivotButton="0" quotePrefix="0" xfId="0">
      <alignment horizontal="center" vertical="center" wrapText="1"/>
    </xf>
    <xf numFmtId="0" fontId="9" fillId="2" borderId="17" applyAlignment="1" pivotButton="0" quotePrefix="0" xfId="0">
      <alignment horizontal="center" vertical="center" wrapText="1"/>
    </xf>
    <xf numFmtId="0" fontId="3" fillId="10" borderId="24" applyAlignment="1" pivotButton="0" quotePrefix="0" xfId="0">
      <alignment horizontal="center" vertical="center" wrapText="1"/>
    </xf>
    <xf numFmtId="0" fontId="11" fillId="6" borderId="11" applyAlignment="1" pivotButton="0" quotePrefix="0" xfId="0">
      <alignment horizontal="center" vertical="center" wrapText="1"/>
    </xf>
    <xf numFmtId="0" fontId="11" fillId="6" borderId="26" applyAlignment="1" pivotButton="0" quotePrefix="0" xfId="0">
      <alignment horizontal="center" vertical="center" wrapText="1"/>
    </xf>
    <xf numFmtId="0" fontId="8" fillId="10" borderId="11" applyAlignment="1" pivotButton="0" quotePrefix="0" xfId="0">
      <alignment horizontal="center" vertical="center" wrapText="1"/>
    </xf>
    <xf numFmtId="0" fontId="8" fillId="10" borderId="26" applyAlignment="1" pivotButton="0" quotePrefix="0" xfId="0">
      <alignment horizontal="center" vertical="center" wrapText="1"/>
    </xf>
    <xf numFmtId="0" fontId="8" fillId="5" borderId="14" applyAlignment="1" pivotButton="0" quotePrefix="0" xfId="0">
      <alignment horizontal="center" vertical="center" wrapText="1"/>
    </xf>
    <xf numFmtId="0" fontId="8" fillId="5" borderId="15" applyAlignment="1" pivotButton="0" quotePrefix="0" xfId="0">
      <alignment horizontal="center" vertical="center" wrapText="1"/>
    </xf>
    <xf numFmtId="0" fontId="8" fillId="2" borderId="18" applyAlignment="1" pivotButton="0" quotePrefix="0" xfId="0">
      <alignment horizontal="center" vertical="center" wrapText="1"/>
    </xf>
    <xf numFmtId="0" fontId="8" fillId="2" borderId="11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center" vertical="center" wrapText="1"/>
    </xf>
    <xf numFmtId="0" fontId="13" fillId="0" borderId="11" applyAlignment="1" pivotButton="0" quotePrefix="0" xfId="0">
      <alignment horizontal="left" vertical="center" wrapText="1"/>
    </xf>
    <xf numFmtId="0" fontId="13" fillId="0" borderId="20" applyAlignment="1" pivotButton="0" quotePrefix="0" xfId="0">
      <alignment horizontal="center" vertical="center" wrapText="1"/>
    </xf>
    <xf numFmtId="0" fontId="14" fillId="6" borderId="24" applyAlignment="1" pivotButton="0" quotePrefix="0" xfId="0">
      <alignment horizontal="center" vertical="center" wrapText="1"/>
    </xf>
    <xf numFmtId="0" fontId="9" fillId="5" borderId="13" applyAlignment="1" pivotButton="0" quotePrefix="0" xfId="0">
      <alignment horizontal="center" vertical="center" wrapText="1"/>
    </xf>
    <xf numFmtId="0" fontId="8" fillId="12" borderId="20" applyAlignment="1" pivotButton="0" quotePrefix="0" xfId="0">
      <alignment horizontal="center" vertical="center" wrapText="1"/>
    </xf>
    <xf numFmtId="0" fontId="8" fillId="12" borderId="11" applyAlignment="1" pivotButton="0" quotePrefix="0" xfId="0">
      <alignment horizontal="center" vertical="center" wrapText="1"/>
    </xf>
    <xf numFmtId="0" fontId="9" fillId="2" borderId="21" applyAlignment="1" pivotButton="0" quotePrefix="0" xfId="0">
      <alignment horizontal="center" vertical="center" wrapText="1"/>
    </xf>
    <xf numFmtId="0" fontId="8" fillId="2" borderId="22" applyAlignment="1" pivotButton="0" quotePrefix="0" xfId="0">
      <alignment horizontal="center" vertical="center" wrapText="1"/>
    </xf>
    <xf numFmtId="0" fontId="8" fillId="12" borderId="27" applyAlignment="1" pivotButton="0" quotePrefix="0" xfId="0">
      <alignment horizontal="center" vertical="center" wrapText="1"/>
    </xf>
    <xf numFmtId="0" fontId="8" fillId="12" borderId="28" applyAlignment="1" pivotButton="0" quotePrefix="0" xfId="0">
      <alignment horizontal="center" vertical="center" wrapText="1"/>
    </xf>
    <xf numFmtId="0" fontId="15" fillId="7" borderId="32" applyAlignment="1" pivotButton="0" quotePrefix="0" xfId="0">
      <alignment horizontal="center" vertical="center" wrapText="1"/>
    </xf>
    <xf numFmtId="0" fontId="15" fillId="7" borderId="33" applyAlignment="1" pivotButton="0" quotePrefix="0" xfId="0">
      <alignment horizontal="center" vertical="center" wrapText="1"/>
    </xf>
    <xf numFmtId="0" fontId="15" fillId="7" borderId="34" applyAlignment="1" pivotButton="0" quotePrefix="0" xfId="0">
      <alignment horizontal="center" vertical="center" wrapText="1"/>
    </xf>
    <xf numFmtId="0" fontId="15" fillId="7" borderId="35" applyAlignment="1" pivotButton="0" quotePrefix="0" xfId="0">
      <alignment horizontal="center" vertical="center" wrapText="1"/>
    </xf>
    <xf numFmtId="0" fontId="5" fillId="4" borderId="0" applyAlignment="1" pivotButton="0" quotePrefix="0" xfId="0">
      <alignment horizontal="center" vertical="center" wrapText="1"/>
    </xf>
    <xf numFmtId="0" fontId="7" fillId="5" borderId="11" applyAlignment="1" pivotButton="0" quotePrefix="0" xfId="0">
      <alignment horizontal="center" vertical="center" wrapText="1"/>
    </xf>
    <xf numFmtId="0" fontId="13" fillId="0" borderId="26" applyAlignment="1" pivotButton="0" quotePrefix="0" xfId="0">
      <alignment horizontal="center" vertical="center" wrapText="1"/>
    </xf>
    <xf numFmtId="0" fontId="4" fillId="0" borderId="26" applyAlignment="1" pivotButton="0" quotePrefix="0" xfId="0">
      <alignment horizontal="center" vertical="center" wrapText="1"/>
    </xf>
    <xf numFmtId="0" fontId="16" fillId="5" borderId="26" applyAlignment="1" pivotButton="0" quotePrefix="0" xfId="0">
      <alignment horizontal="center" vertical="center" wrapText="1"/>
    </xf>
    <xf numFmtId="0" fontId="3" fillId="0" borderId="36" applyAlignment="1" pivotButton="0" quotePrefix="0" xfId="0">
      <alignment horizontal="center" vertical="center" wrapText="1"/>
    </xf>
    <xf numFmtId="0" fontId="3" fillId="0" borderId="37" applyAlignment="1" pivotButton="0" quotePrefix="0" xfId="0">
      <alignment horizontal="center" vertical="center" wrapText="1"/>
    </xf>
    <xf numFmtId="9" fontId="3" fillId="0" borderId="37" applyAlignment="1" pivotButton="0" quotePrefix="0" xfId="0">
      <alignment horizontal="center" vertical="center" wrapText="1"/>
    </xf>
    <xf numFmtId="0" fontId="10" fillId="0" borderId="37" applyAlignment="1" pivotButton="0" quotePrefix="0" xfId="0">
      <alignment horizontal="center" vertical="center" wrapText="1"/>
    </xf>
    <xf numFmtId="0" fontId="4" fillId="0" borderId="37" applyAlignment="1" pivotButton="0" quotePrefix="0" xfId="0">
      <alignment horizontal="center" vertical="center" wrapText="1"/>
    </xf>
    <xf numFmtId="0" fontId="17" fillId="0" borderId="11" applyAlignment="1" pivotButton="0" quotePrefix="0" xfId="0">
      <alignment horizontal="center" vertical="center" wrapText="1"/>
    </xf>
    <xf numFmtId="0" fontId="18" fillId="0" borderId="11" applyAlignment="1" pivotButton="0" quotePrefix="0" xfId="0">
      <alignment horizontal="center" vertical="center" wrapText="1"/>
    </xf>
    <xf numFmtId="0" fontId="18" fillId="0" borderId="11" applyAlignment="1" pivotButton="0" quotePrefix="0" xfId="0">
      <alignment horizontal="left" vertical="center" wrapText="1"/>
    </xf>
    <xf numFmtId="0" fontId="18" fillId="0" borderId="20" applyAlignment="1" pivotButton="0" quotePrefix="0" xfId="0">
      <alignment horizontal="center" vertical="center" wrapText="1"/>
    </xf>
    <xf numFmtId="0" fontId="18" fillId="0" borderId="26" applyAlignment="1" pivotButton="0" quotePrefix="0" xfId="0">
      <alignment horizontal="center" vertical="center" wrapText="1"/>
    </xf>
    <xf numFmtId="0" fontId="13" fillId="0" borderId="22" applyAlignment="1" pivotButton="0" quotePrefix="0" xfId="0">
      <alignment horizontal="center" vertical="center" wrapText="1"/>
    </xf>
    <xf numFmtId="0" fontId="18" fillId="0" borderId="22" applyAlignment="1" pivotButton="0" quotePrefix="0" xfId="0">
      <alignment horizontal="center" vertical="center" wrapText="1"/>
    </xf>
    <xf numFmtId="0" fontId="4" fillId="0" borderId="22" applyAlignment="1" pivotButton="0" quotePrefix="0" xfId="0">
      <alignment horizontal="center" vertical="center" wrapText="1"/>
    </xf>
    <xf numFmtId="0" fontId="16" fillId="5" borderId="22" applyAlignment="1" pivotButton="0" quotePrefix="0" xfId="0">
      <alignment horizontal="center" vertical="center" wrapText="1"/>
    </xf>
    <xf numFmtId="0" fontId="19" fillId="0" borderId="11" applyAlignment="1" pivotButton="0" quotePrefix="0" xfId="0">
      <alignment horizontal="center" vertical="center" wrapText="1"/>
    </xf>
    <xf numFmtId="0" fontId="19" fillId="0" borderId="11" applyAlignment="1" pivotButton="0" quotePrefix="0" xfId="0">
      <alignment horizontal="left" vertical="center" wrapText="1"/>
    </xf>
    <xf numFmtId="0" fontId="19" fillId="0" borderId="20" applyAlignment="1" pivotButton="0" quotePrefix="0" xfId="0">
      <alignment horizontal="center" vertical="center" wrapText="1"/>
    </xf>
    <xf numFmtId="0" fontId="19" fillId="0" borderId="22" applyAlignment="1" pivotButton="0" quotePrefix="0" xfId="0">
      <alignment horizontal="center" vertical="center" wrapText="1"/>
    </xf>
    <xf numFmtId="0" fontId="19" fillId="0" borderId="26" applyAlignment="1" pivotButton="0" quotePrefix="0" xfId="0">
      <alignment horizontal="center" vertical="center" wrapText="1"/>
    </xf>
    <xf numFmtId="0" fontId="20" fillId="10" borderId="24" applyAlignment="1" pivotButton="0" quotePrefix="0" xfId="0">
      <alignment horizontal="center" vertical="center" wrapText="1"/>
    </xf>
    <xf numFmtId="0" fontId="21" fillId="10" borderId="11" applyAlignment="1" pivotButton="0" quotePrefix="0" xfId="0">
      <alignment horizontal="center" vertical="center" wrapText="1"/>
    </xf>
    <xf numFmtId="0" fontId="21" fillId="10" borderId="26" applyAlignment="1" pivotButton="0" quotePrefix="0" xfId="0">
      <alignment horizontal="center" vertical="center" wrapText="1"/>
    </xf>
    <xf numFmtId="0" fontId="21" fillId="5" borderId="14" applyAlignment="1" pivotButton="0" quotePrefix="0" xfId="0">
      <alignment horizontal="center" vertical="center" wrapText="1"/>
    </xf>
    <xf numFmtId="0" fontId="21" fillId="5" borderId="15" applyAlignment="1" pivotButton="0" quotePrefix="0" xfId="0">
      <alignment horizontal="center" vertical="center" wrapText="1"/>
    </xf>
    <xf numFmtId="0" fontId="21" fillId="2" borderId="18" applyAlignment="1" pivotButton="0" quotePrefix="0" xfId="0">
      <alignment horizontal="center" vertical="center" wrapText="1"/>
    </xf>
    <xf numFmtId="0" fontId="21" fillId="2" borderId="11" applyAlignment="1" pivotButton="0" quotePrefix="0" xfId="0">
      <alignment horizontal="center" vertical="center" wrapText="1"/>
    </xf>
    <xf numFmtId="0" fontId="21" fillId="2" borderId="22" applyAlignment="1" pivotButton="0" quotePrefix="0" xfId="0">
      <alignment horizontal="center" vertical="center" wrapText="1"/>
    </xf>
    <xf numFmtId="0" fontId="21" fillId="12" borderId="27" applyAlignment="1" pivotButton="0" quotePrefix="0" xfId="0">
      <alignment horizontal="center" vertical="center" wrapText="1"/>
    </xf>
    <xf numFmtId="0" fontId="21" fillId="12" borderId="20" applyAlignment="1" pivotButton="0" quotePrefix="0" xfId="0">
      <alignment horizontal="center" vertical="center" wrapText="1"/>
    </xf>
    <xf numFmtId="0" fontId="21" fillId="12" borderId="11" applyAlignment="1" pivotButton="0" quotePrefix="0" xfId="0">
      <alignment horizontal="center" vertical="center" wrapText="1"/>
    </xf>
    <xf numFmtId="0" fontId="21" fillId="12" borderId="28" applyAlignment="1" pivotButton="0" quotePrefix="0" xfId="0">
      <alignment horizontal="center" vertical="center" wrapText="1"/>
    </xf>
    <xf numFmtId="0" fontId="20" fillId="0" borderId="36" applyAlignment="1" pivotButton="0" quotePrefix="0" xfId="0">
      <alignment horizontal="center" vertical="center" wrapText="1"/>
    </xf>
    <xf numFmtId="0" fontId="20" fillId="0" borderId="37" applyAlignment="1" pivotButton="0" quotePrefix="0" xfId="0">
      <alignment horizontal="center" vertical="center" wrapText="1"/>
    </xf>
    <xf numFmtId="9" fontId="20" fillId="0" borderId="37" applyAlignment="1" pivotButton="0" quotePrefix="0" xfId="0">
      <alignment horizontal="center" vertical="center" wrapText="1"/>
    </xf>
    <xf numFmtId="0" fontId="17" fillId="0" borderId="11" applyAlignment="1" pivotButton="0" quotePrefix="0" xfId="0">
      <alignment horizontal="left" vertical="center" wrapText="1"/>
    </xf>
    <xf numFmtId="0" fontId="17" fillId="0" borderId="20" applyAlignment="1" pivotButton="0" quotePrefix="0" xfId="0">
      <alignment horizontal="center" vertical="center" wrapText="1"/>
    </xf>
    <xf numFmtId="0" fontId="17" fillId="0" borderId="22" applyAlignment="1" pivotButton="0" quotePrefix="0" xfId="0">
      <alignment horizontal="center" vertical="center" wrapText="1"/>
    </xf>
    <xf numFmtId="0" fontId="17" fillId="0" borderId="26" applyAlignment="1" pivotButton="0" quotePrefix="0" xfId="0">
      <alignment horizontal="center" vertical="center" wrapText="1"/>
    </xf>
    <xf numFmtId="0" fontId="22" fillId="0" borderId="0" pivotButton="0" quotePrefix="0" xfId="0"/>
    <xf numFmtId="0" fontId="12" fillId="8" borderId="23" applyAlignment="1" pivotButton="0" quotePrefix="0" xfId="0">
      <alignment horizontal="center" vertical="center" wrapText="1"/>
    </xf>
    <xf numFmtId="0" fontId="12" fillId="8" borderId="10" applyAlignment="1" pivotButton="0" quotePrefix="0" xfId="0">
      <alignment horizontal="center" vertical="center" wrapText="1"/>
    </xf>
    <xf numFmtId="0" fontId="12" fillId="8" borderId="25" applyAlignment="1" pivotButton="0" quotePrefix="0" xfId="0">
      <alignment horizontal="center" vertical="center" wrapText="1"/>
    </xf>
    <xf numFmtId="0" fontId="5" fillId="9" borderId="8" applyAlignment="1" pivotButton="0" quotePrefix="0" xfId="0">
      <alignment horizontal="center" vertical="center"/>
    </xf>
    <xf numFmtId="0" fontId="5" fillId="9" borderId="9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 wrapText="1"/>
    </xf>
    <xf numFmtId="0" fontId="5" fillId="11" borderId="29" applyAlignment="1" pivotButton="0" quotePrefix="0" xfId="0">
      <alignment horizontal="center" vertical="center"/>
    </xf>
    <xf numFmtId="0" fontId="5" fillId="11" borderId="30" applyAlignment="1" pivotButton="0" quotePrefix="0" xfId="0">
      <alignment horizontal="center" vertical="center"/>
    </xf>
    <xf numFmtId="0" fontId="5" fillId="11" borderId="31" applyAlignment="1" pivotButton="0" quotePrefix="0" xfId="0">
      <alignment horizontal="center" vertical="center"/>
    </xf>
    <xf numFmtId="0" fontId="6" fillId="3" borderId="0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 wrapText="1"/>
    </xf>
    <xf numFmtId="0" fontId="0" fillId="0" borderId="4" pivotButton="0" quotePrefix="0" xfId="0"/>
    <xf numFmtId="0" fontId="5" fillId="4" borderId="3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6" applyAlignment="1" pivotButton="0" quotePrefix="0" xfId="0">
      <alignment horizontal="center"/>
    </xf>
    <xf numFmtId="0" fontId="5" fillId="4" borderId="2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2" fillId="8" borderId="38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25" pivotButton="0" quotePrefix="0" xfId="0"/>
    <xf numFmtId="0" fontId="0" fillId="0" borderId="7" pivotButton="0" quotePrefix="0" xfId="0"/>
    <xf numFmtId="0" fontId="0" fillId="0" borderId="9" pivotButton="0" quotePrefix="0" xfId="0"/>
    <xf numFmtId="0" fontId="5" fillId="11" borderId="40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31" pivotButton="0" quotePrefix="0" xfId="0"/>
    <xf numFmtId="0" fontId="0" fillId="0" borderId="45" pivotButton="0" quotePrefix="0" xfId="0"/>
    <xf numFmtId="0" fontId="0" fillId="0" borderId="42" pivotButton="0" quotePrefix="0" xfId="0"/>
  </cellXfs>
  <cellStyles count="2">
    <cellStyle name="Normal" xfId="0" builtinId="0"/>
    <cellStyle name="Normal 2" xfId="1"/>
  </cellStyles>
  <dxfs count="21">
    <dxf>
      <font>
        <b val="1"/>
        <color rgb="FFFFFFFF"/>
      </font>
      <fill>
        <patternFill patternType="solid">
          <fgColor indexed="64"/>
          <bgColor rgb="FF5B9BD5"/>
        </patternFill>
      </fill>
    </dxf>
    <dxf>
      <font>
        <b val="1"/>
        <color rgb="FF9C0006"/>
      </font>
      <fill>
        <patternFill patternType="solid">
          <fgColor indexed="64"/>
          <bgColor rgb="FFF4CCCC"/>
        </patternFill>
      </fill>
    </dxf>
    <dxf>
      <font>
        <b val="1"/>
        <color rgb="FF7030A0"/>
      </font>
      <fill>
        <patternFill patternType="solid">
          <fgColor indexed="64"/>
          <bgColor rgb="FFE4DFEC"/>
        </patternFill>
      </fill>
    </dxf>
    <dxf>
      <font>
        <b val="1"/>
        <color rgb="FF1F4E78"/>
      </font>
      <fill>
        <patternFill patternType="solid">
          <fgColor indexed="64"/>
          <bgColor rgb="FFDDEBF7"/>
        </patternFill>
      </fill>
    </dxf>
    <dxf>
      <font>
        <b val="1"/>
        <color rgb="FF843C0C"/>
      </font>
      <fill>
        <patternFill patternType="solid">
          <fgColor indexed="64"/>
          <bgColor rgb="FFFCE4D6"/>
        </patternFill>
      </fill>
    </dxf>
    <dxf>
      <font>
        <b val="1"/>
        <color rgb="FF375623"/>
      </font>
      <fill>
        <patternFill patternType="solid">
          <fgColor indexed="64"/>
          <bgColor rgb="FFE2F0D9"/>
        </patternFill>
      </fill>
    </dxf>
    <dxf>
      <font>
        <b val="1"/>
        <color rgb="FFC00000"/>
      </font>
    </dxf>
    <dxf>
      <font>
        <b val="1"/>
        <color rgb="FFED7D31"/>
      </font>
    </dxf>
    <dxf>
      <font>
        <b val="1"/>
        <color rgb="FF008000"/>
      </font>
    </dxf>
    <dxf>
      <font>
        <b val="1"/>
        <color rgb="FFC00000"/>
      </font>
    </dxf>
    <dxf>
      <font>
        <b val="1"/>
        <color rgb="FFED7D31"/>
      </font>
    </dxf>
    <dxf>
      <font>
        <b val="1"/>
        <color rgb="FF008000"/>
      </font>
    </dxf>
    <dxf>
      <font>
        <b val="1"/>
        <color rgb="FF375623"/>
      </font>
      <fill>
        <patternFill patternType="solid">
          <fgColor indexed="64"/>
          <bgColor rgb="FFC6E0B4"/>
        </patternFill>
      </fill>
    </dxf>
    <dxf>
      <font>
        <b val="1"/>
        <color rgb="FF9C0006"/>
      </font>
      <fill>
        <patternFill patternType="solid">
          <fgColor indexed="64"/>
          <bgColor rgb="FFF4CCCC"/>
        </patternFill>
      </fill>
    </dxf>
    <dxf>
      <font>
        <b val="1"/>
        <color rgb="FF375623"/>
      </font>
      <fill>
        <patternFill patternType="solid">
          <fgColor indexed="64"/>
          <bgColor rgb="FFC6E0B4"/>
        </patternFill>
      </fill>
    </dxf>
    <dxf>
      <font>
        <color rgb="FF375623"/>
      </font>
      <fill>
        <patternFill patternType="solid">
          <fgColor indexed="64"/>
          <bgColor rgb="FFC6E0B4"/>
        </patternFill>
      </fill>
    </dxf>
    <dxf>
      <font>
        <color rgb="FF9C0006"/>
      </font>
      <fill>
        <patternFill patternType="solid">
          <fgColor indexed="64"/>
          <bgColor rgb="FFF4CCCC"/>
        </patternFill>
      </fill>
    </dxf>
    <dxf>
      <font>
        <color rgb="FF375623"/>
      </font>
      <fill>
        <patternFill patternType="solid">
          <fgColor indexed="64"/>
          <bgColor rgb="FFC6E0B4"/>
        </patternFill>
      </fill>
    </dxf>
    <dxf>
      <font>
        <b val="1"/>
        <color rgb="FF7030A0"/>
      </font>
      <fill>
        <patternFill patternType="solid">
          <fgColor indexed="64"/>
          <bgColor rgb="FFE4DFEC"/>
        </patternFill>
      </fill>
    </dxf>
    <dxf>
      <font>
        <b val="1"/>
        <color rgb="FFFFFFFF"/>
      </font>
      <fill>
        <patternFill patternType="solid">
          <fgColor indexed="64"/>
          <bgColor rgb="FF7030A0"/>
        </patternFill>
      </fill>
    </dxf>
    <dxf>
      <font>
        <b val="1"/>
        <color rgb="FF7F6000"/>
      </font>
      <fill>
        <patternFill patternType="solid">
          <fgColor indexed="64"/>
          <bgColor rgb="FFFFD966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F8C8D"/>
      <rgbColor rgb="FF5B9BD5"/>
      <rgbColor rgb="FF993366"/>
      <rgbColor rgb="FFFCE4D6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6E6"/>
      <rgbColor rgb="FFE2F0D9"/>
      <rgbColor rgb="FFFFFF99"/>
      <rgbColor rgb="FF99CCFF"/>
      <rgbColor rgb="FFFF99CC"/>
      <rgbColor rgb="FFCC99FF"/>
      <rgbColor rgb="FFF4CCCC"/>
      <rgbColor rgb="FF2F75B5"/>
      <rgbColor rgb="FF33CCCC"/>
      <rgbColor rgb="FF99CC00"/>
      <rgbColor rgb="FFFFC000"/>
      <rgbColor rgb="FFFF9900"/>
      <rgbColor rgb="FFED7D31"/>
      <rgbColor rgb="FF666699"/>
      <rgbColor rgb="FFA6A6A6"/>
      <rgbColor rgb="FF003366"/>
      <rgbColor rgb="FF70AD47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I54"/>
  <sheetViews>
    <sheetView showGridLines="0" tabSelected="1" zoomScaleNormal="100" workbookViewId="0">
      <pane xSplit="5" ySplit="3" topLeftCell="F4" activePane="bottomRight" state="frozen"/>
      <selection pane="topRight" activeCell="F1" sqref="F1"/>
      <selection pane="bottomLeft" activeCell="A4" sqref="A4"/>
      <selection pane="bottomRight" activeCell="C13" sqref="C13"/>
    </sheetView>
  </sheetViews>
  <sheetFormatPr baseColWidth="8" defaultColWidth="8.7109375" defaultRowHeight="15"/>
  <cols>
    <col width="5.7109375" customWidth="1" min="1" max="1"/>
    <col width="10.42578125" customWidth="1" min="2" max="2"/>
    <col width="41.5703125" customWidth="1" min="3" max="3"/>
    <col width="7.140625" customWidth="1" min="4" max="5"/>
    <col width="7.7109375" customWidth="1" min="6" max="7"/>
    <col width="8" customWidth="1" min="8" max="10"/>
    <col width="7.28515625" customWidth="1" min="11" max="11"/>
    <col width="6.42578125" customWidth="1" min="12" max="13"/>
    <col width="7.7109375" customWidth="1" min="14" max="14"/>
    <col width="6.7109375" customWidth="1" min="15" max="15"/>
    <col width="10.7109375" customWidth="1" min="16" max="16"/>
    <col width="7.85546875" customWidth="1" min="17" max="19"/>
    <col width="7.28515625" customWidth="1" min="20" max="21"/>
    <col width="6.28515625" customWidth="1" min="22" max="23"/>
    <col width="7.28515625" customWidth="1" min="24" max="24"/>
    <col width="7.140625" customWidth="1" min="25" max="25"/>
    <col width="5.85546875" customWidth="1" min="26" max="29"/>
    <col width="7.140625" customWidth="1" min="30" max="30"/>
    <col width="11.5703125" customWidth="1" min="31" max="31"/>
    <col width="11.7109375" customWidth="1" min="32" max="32"/>
    <col width="8.28515625" customWidth="1" min="33" max="33"/>
    <col width="14.28515625" customWidth="1" min="34" max="34"/>
    <col width="16.85546875" customWidth="1" style="1" min="35" max="35"/>
    <col width="21.42578125" customWidth="1" min="36" max="37"/>
    <col width="18.28515625" customWidth="1" min="38" max="40"/>
  </cols>
  <sheetData>
    <row r="1" ht="30" customHeight="1" thickBot="1">
      <c r="A1" s="89" t="inlineStr">
        <is>
          <t>QG Documentation Delivery Plan</t>
        </is>
      </c>
    </row>
    <row r="2" ht="27.95" customHeight="1" thickTop="1">
      <c r="A2" s="92" t="inlineStr">
        <is>
          <t>No.</t>
        </is>
      </c>
      <c r="B2" s="92" t="inlineStr">
        <is>
          <t>Project no.</t>
        </is>
      </c>
      <c r="C2" s="92" t="inlineStr">
        <is>
          <t>Project Name</t>
        </is>
      </c>
      <c r="D2" s="92" t="inlineStr">
        <is>
          <t>PM</t>
        </is>
      </c>
      <c r="E2" s="92" t="inlineStr">
        <is>
          <t>Who?</t>
        </is>
      </c>
      <c r="F2" s="95" t="n"/>
      <c r="G2" s="97" t="n"/>
      <c r="H2" s="97" t="n"/>
      <c r="I2" s="36" t="n"/>
      <c r="J2" s="36" t="n"/>
      <c r="K2" s="98" t="inlineStr">
        <is>
          <t>QG4 DUE (CW)</t>
        </is>
      </c>
      <c r="L2" s="99" t="n"/>
      <c r="M2" s="99" t="n"/>
      <c r="N2" s="99" t="n"/>
      <c r="O2" s="99" t="n"/>
      <c r="P2" s="100" t="n"/>
      <c r="Q2" s="85" t="n"/>
      <c r="R2" s="101" t="n"/>
      <c r="S2" s="101" t="n"/>
      <c r="T2" s="83" t="inlineStr">
        <is>
          <t>IFD DUE (CW)</t>
        </is>
      </c>
      <c r="U2" s="102" t="n"/>
      <c r="V2" s="102" t="n"/>
      <c r="W2" s="102" t="n"/>
      <c r="X2" s="102" t="n"/>
      <c r="Y2" s="103" t="inlineStr">
        <is>
          <t>FINAL DUE (CW)</t>
        </is>
      </c>
      <c r="Z2" s="104" t="n"/>
      <c r="AA2" s="104" t="n"/>
      <c r="AB2" s="104" t="n"/>
      <c r="AC2" s="104" t="n"/>
      <c r="AD2" s="105" t="n"/>
      <c r="AE2" s="90" t="inlineStr">
        <is>
          <t>Documents Done</t>
        </is>
      </c>
      <c r="AF2" s="92" t="inlineStr">
        <is>
          <t>Documents Required</t>
        </is>
      </c>
      <c r="AG2" s="92" t="inlineStr">
        <is>
          <t>Progress</t>
        </is>
      </c>
      <c r="AH2" s="92" t="inlineStr">
        <is>
          <t>Overall Status</t>
        </is>
      </c>
      <c r="AI2" s="92" t="inlineStr">
        <is>
          <t>Remark</t>
        </is>
      </c>
    </row>
    <row r="3" ht="54" customHeight="1" thickBot="1">
      <c r="A3" s="106" t="n"/>
      <c r="B3" s="106" t="n"/>
      <c r="C3" s="106" t="n"/>
      <c r="D3" s="106" t="n"/>
      <c r="E3" s="106" t="n"/>
      <c r="F3" s="3" t="inlineStr">
        <is>
          <t>QG4</t>
        </is>
      </c>
      <c r="G3" s="4" t="inlineStr">
        <is>
          <t>QG5</t>
        </is>
      </c>
      <c r="H3" s="37" t="inlineStr">
        <is>
          <t>IFD</t>
        </is>
      </c>
      <c r="I3" s="54" t="inlineStr">
        <is>
          <t>FAT</t>
        </is>
      </c>
      <c r="J3" s="40" t="inlineStr">
        <is>
          <t>PL</t>
        </is>
      </c>
      <c r="K3" s="24" t="inlineStr">
        <is>
          <t xml:space="preserve">QG4 </t>
        </is>
      </c>
      <c r="L3" s="13" t="inlineStr">
        <is>
          <t>Cert. 
List</t>
        </is>
      </c>
      <c r="M3" s="13" t="inlineStr">
        <is>
          <t>Cert. Mat.</t>
        </is>
      </c>
      <c r="N3" s="13" t="inlineStr">
        <is>
          <t>FAT 
protocol</t>
        </is>
      </c>
      <c r="O3" s="13" t="inlineStr">
        <is>
          <t>Cal. list</t>
        </is>
      </c>
      <c r="P3" s="14" t="inlineStr">
        <is>
          <t>Adj. 
(Blak FORM)</t>
        </is>
      </c>
      <c r="Q3" s="2" t="inlineStr">
        <is>
          <t>ETK (BOM) draft</t>
        </is>
      </c>
      <c r="R3" s="7" t="inlineStr">
        <is>
          <t>OEM 
Draft</t>
        </is>
      </c>
      <c r="S3" s="25" t="inlineStr">
        <is>
          <t>Manual 
draft</t>
        </is>
      </c>
      <c r="T3" s="10" t="inlineStr">
        <is>
          <t xml:space="preserve">IFD </t>
        </is>
      </c>
      <c r="U3" s="7" t="inlineStr">
        <is>
          <t>Cal. cert</t>
        </is>
      </c>
      <c r="V3" s="11" t="inlineStr">
        <is>
          <t>Cert, Mat</t>
        </is>
      </c>
      <c r="W3" s="11" t="inlineStr">
        <is>
          <t>Adj 
Draft</t>
        </is>
      </c>
      <c r="X3" s="28" t="inlineStr">
        <is>
          <t>Manual 
draft</t>
        </is>
      </c>
      <c r="Y3" s="32" t="inlineStr">
        <is>
          <t>PL</t>
        </is>
      </c>
      <c r="Z3" s="33" t="inlineStr">
        <is>
          <t>ETK</t>
        </is>
      </c>
      <c r="AA3" s="33" t="inlineStr">
        <is>
          <t>OEM</t>
        </is>
      </c>
      <c r="AB3" s="34" t="inlineStr">
        <is>
          <t>Cert, Mat</t>
        </is>
      </c>
      <c r="AC3" s="34" t="inlineStr">
        <is>
          <t xml:space="preserve">Adj 
</t>
        </is>
      </c>
      <c r="AD3" s="35" t="inlineStr">
        <is>
          <t xml:space="preserve">Manual 
</t>
        </is>
      </c>
      <c r="AE3" s="107" t="n"/>
      <c r="AF3" s="106" t="n"/>
      <c r="AG3" s="106" t="n"/>
      <c r="AH3" s="106" t="n"/>
      <c r="AI3" s="106" t="n"/>
    </row>
    <row r="4" ht="20.1" customHeight="1" thickTop="1">
      <c r="A4" s="21">
        <f>IF(B4="","",ROW()-3)</f>
        <v/>
      </c>
      <c r="B4" s="21" t="n">
        <v>56060</v>
      </c>
      <c r="C4" s="22" t="inlineStr">
        <is>
          <t>A_SI_VI5X</t>
        </is>
      </c>
      <c r="D4" s="21" t="inlineStr">
        <is>
          <t>Stefanie</t>
        </is>
      </c>
      <c r="E4" s="21" t="inlineStr">
        <is>
          <t>pp</t>
        </is>
      </c>
      <c r="F4" s="23" t="inlineStr">
        <is>
          <t>CW15</t>
        </is>
      </c>
      <c r="G4" s="21" t="inlineStr">
        <is>
          <t>CW25</t>
        </is>
      </c>
      <c r="H4" s="21" t="inlineStr">
        <is>
          <t>CW27</t>
        </is>
      </c>
      <c r="I4" s="51" t="inlineStr">
        <is>
          <t>CW32</t>
        </is>
      </c>
      <c r="J4" s="38" t="inlineStr">
        <is>
          <t>CW37</t>
        </is>
      </c>
      <c r="K4" s="12">
        <f>IF($B4="","",_xlfn.LET(_xlpm.v,$F4,_xlpm.n,IF(ISNUMBER(_xlpm.v),_xlpm.v,IF(LEFT(UPPER(TRIM(_xlpm.v)),2)="CW",IFERROR(VALUE(SUBSTITUTE(UPPER(TRIM(_xlpm.v)),"CW","")),""),"")),IF(AND(ISNUMBER(_xlpm.n),_xlpm.n&gt;=1,_xlpm.n&lt;=52),"CW"&amp;_xlpm.n,"")))</f>
        <v/>
      </c>
      <c r="L4" s="15" t="inlineStr">
        <is>
          <t>N/A</t>
        </is>
      </c>
      <c r="M4" s="15" t="inlineStr">
        <is>
          <t>N/A</t>
        </is>
      </c>
      <c r="N4" s="15" t="inlineStr">
        <is>
          <t>N/A</t>
        </is>
      </c>
      <c r="O4" s="15" t="inlineStr">
        <is>
          <t>N/A</t>
        </is>
      </c>
      <c r="P4" s="16" t="n">
        <v>1</v>
      </c>
      <c r="Q4" s="17" t="n">
        <v>1</v>
      </c>
      <c r="R4" s="17" t="n">
        <v>1</v>
      </c>
      <c r="S4" s="18" t="n">
        <v>1</v>
      </c>
      <c r="T4" s="19">
        <f>IF($B4="","",_xlfn.LET(_xlpm.v,$H4,_xlpm.n,IF(ISNUMBER(_xlpm.v),_xlpm.v,IF(LEFT(UPPER(TRIM(_xlpm.v)),2)="CW",IFERROR(VALUE(SUBSTITUTE(UPPER(TRIM(_xlpm.v)),"CW","")),""),"")),IF(AND(ISNUMBER(_xlpm.n),_xlpm.n&gt;=1,_xlpm.n&lt;=52),"CW"&amp;_xlpm.n,"")))</f>
        <v/>
      </c>
      <c r="U4" s="17" t="inlineStr">
        <is>
          <t>N/A</t>
        </is>
      </c>
      <c r="V4" s="20">
        <f>IF($B4="","",$M4)</f>
        <v/>
      </c>
      <c r="W4" s="20" t="n">
        <v>1</v>
      </c>
      <c r="X4" s="29" t="n">
        <v>1</v>
      </c>
      <c r="Y4" s="30">
        <f>IF(OR($B4="",$J4=""),"",$J4)</f>
        <v/>
      </c>
      <c r="Z4" s="26">
        <f>IF(OR($B4="",$Q4=""),"",$Q4)</f>
        <v/>
      </c>
      <c r="AA4" s="26">
        <f>IF(OR($B4="",$R4=""),"",$R4)</f>
        <v/>
      </c>
      <c r="AB4" s="27">
        <f>IF($B4="","",$M4)</f>
        <v/>
      </c>
      <c r="AC4" s="27" t="n">
        <v>1</v>
      </c>
      <c r="AD4" s="31" t="n">
        <v>1</v>
      </c>
      <c r="AE4" s="41">
        <f>COUNTIF($L4:$P4,1)+COUNTIF($Q4:$S4,1)+COUNTIF($U4:$X4,1)+COUNTIF($Z4:$AD4,1)</f>
        <v/>
      </c>
      <c r="AF4" s="42">
        <f>COUNT($L4:$P4,$Q4:$S4,$U4:$X4,$Z4:$AD4)</f>
        <v/>
      </c>
      <c r="AG4" s="43">
        <f>IF(AF4=0,0,AE4/AF4)</f>
        <v/>
      </c>
      <c r="AH4" s="42">
        <f>IF($B4="","",IF(AF4=0,"Not Started",IF(AE4=AF4,"Complete",IF(AE4=0,"Not Started","In Progress"))))</f>
        <v/>
      </c>
      <c r="AI4" s="44" t="inlineStr">
        <is>
          <t>Shipment Done</t>
        </is>
      </c>
    </row>
    <row r="5" ht="20.1" customFormat="1" customHeight="1" s="79">
      <c r="A5" s="46">
        <f>IF(B5="","",ROW()-3)</f>
        <v/>
      </c>
      <c r="B5" s="46" t="n">
        <v>56042</v>
      </c>
      <c r="C5" s="75" t="inlineStr">
        <is>
          <t>B CN SC5-CondomFeeder</t>
        </is>
      </c>
      <c r="D5" s="46" t="inlineStr">
        <is>
          <t>Karan</t>
        </is>
      </c>
      <c r="E5" s="46" t="inlineStr">
        <is>
          <t>NN</t>
        </is>
      </c>
      <c r="F5" s="76" t="inlineStr">
        <is>
          <t>CW6</t>
        </is>
      </c>
      <c r="G5" s="46" t="inlineStr">
        <is>
          <t>CW7</t>
        </is>
      </c>
      <c r="H5" s="46" t="inlineStr">
        <is>
          <t>CW27</t>
        </is>
      </c>
      <c r="I5" s="77" t="inlineStr">
        <is>
          <t>CW37</t>
        </is>
      </c>
      <c r="J5" s="78" t="inlineStr">
        <is>
          <t>CW41</t>
        </is>
      </c>
      <c r="K5" s="12">
        <f>IF($B5="","",_xlfn.LET(_xlpm.v,$F5,_xlpm.n,IF(ISNUMBER(_xlpm.v),_xlpm.v,IF(LEFT(UPPER(TRIM(_xlpm.v)),2)="CW",IFERROR(VALUE(SUBSTITUTE(UPPER(TRIM(_xlpm.v)),"CW","")),""),"")),IF(AND(ISNUMBER(_xlpm.n),_xlpm.n&gt;=1,_xlpm.n&lt;=52),"CW"&amp;_xlpm.n,"")))</f>
        <v/>
      </c>
      <c r="L5" s="15" t="inlineStr">
        <is>
          <t>N/A</t>
        </is>
      </c>
      <c r="M5" s="15" t="inlineStr">
        <is>
          <t>N/A</t>
        </is>
      </c>
      <c r="N5" s="15" t="n">
        <v>1</v>
      </c>
      <c r="O5" s="15" t="n">
        <v>1</v>
      </c>
      <c r="P5" s="16" t="n">
        <v>1</v>
      </c>
      <c r="Q5" s="17" t="n">
        <v>1</v>
      </c>
      <c r="R5" s="17" t="n">
        <v>1</v>
      </c>
      <c r="S5" s="18" t="n">
        <v>1</v>
      </c>
      <c r="T5" s="19">
        <f>IF($B5="","",_xlfn.LET(_xlpm.v,$H5,_xlpm.n,IF(ISNUMBER(_xlpm.v),_xlpm.v,IF(LEFT(UPPER(TRIM(_xlpm.v)),2)="CW",IFERROR(VALUE(SUBSTITUTE(UPPER(TRIM(_xlpm.v)),"CW","")),""),"")),IF(AND(ISNUMBER(_xlpm.n),_xlpm.n&gt;=1,_xlpm.n&lt;=52),"CW"&amp;_xlpm.n,"")))</f>
        <v/>
      </c>
      <c r="U5" s="17" t="n">
        <v>1</v>
      </c>
      <c r="V5" s="20">
        <f>IF($B5="","",$M5)</f>
        <v/>
      </c>
      <c r="W5" s="20" t="n">
        <v>1</v>
      </c>
      <c r="X5" s="29" t="n">
        <v>1</v>
      </c>
      <c r="Y5" s="30">
        <f>IF(OR($B5="",$J5=""),"",$J5)</f>
        <v/>
      </c>
      <c r="Z5" s="26">
        <f>IF(OR($B5="",$Q5=""),"",$Q5)</f>
        <v/>
      </c>
      <c r="AA5" s="26">
        <f>IF(OR($B5="",$R5=""),"",$R5)</f>
        <v/>
      </c>
      <c r="AB5" s="27">
        <f>IF($B5="","",$M5)</f>
        <v/>
      </c>
      <c r="AC5" s="27" t="n">
        <v>0</v>
      </c>
      <c r="AD5" s="31" t="n">
        <v>0</v>
      </c>
      <c r="AE5" s="41">
        <f>COUNTIF($L5:$P5,1)+COUNTIF($Q5:$S5,1)+COUNTIF($U5:$X5,1)+COUNTIF($Z5:$AD5,1)</f>
        <v/>
      </c>
      <c r="AF5" s="42">
        <f>COUNT($L5:$P5,$Q5:$S5,$U5:$X5,$Z5:$AD5)</f>
        <v/>
      </c>
      <c r="AG5" s="43">
        <f>IF(AF5=0,0,AE5/AF5)</f>
        <v/>
      </c>
      <c r="AH5" s="42">
        <f>IF($B5="","",IF(AF5=0,"Not Started",IF(AE5=AF5,"Complete",IF(AE5=0,"Not Started","In Progress"))))</f>
        <v/>
      </c>
      <c r="AI5" s="42" t="inlineStr">
        <is>
          <t>FAT Done</t>
        </is>
      </c>
    </row>
    <row r="6" ht="20.1" customFormat="1" customHeight="1" s="79">
      <c r="A6" s="46">
        <f>IF(B6="","",ROW()-3)</f>
        <v/>
      </c>
      <c r="B6" s="46" t="n">
        <v>55735</v>
      </c>
      <c r="C6" s="75" t="inlineStr">
        <is>
          <t>C_TH_SC5</t>
        </is>
      </c>
      <c r="D6" s="46" t="inlineStr">
        <is>
          <t>Chettapong</t>
        </is>
      </c>
      <c r="E6" s="46" t="inlineStr">
        <is>
          <t>NN</t>
        </is>
      </c>
      <c r="F6" s="76" t="inlineStr">
        <is>
          <t>CW18</t>
        </is>
      </c>
      <c r="G6" s="46" t="inlineStr">
        <is>
          <t>CW25</t>
        </is>
      </c>
      <c r="H6" s="46" t="inlineStr">
        <is>
          <t>CW26</t>
        </is>
      </c>
      <c r="I6" s="77" t="inlineStr">
        <is>
          <t>CW7</t>
        </is>
      </c>
      <c r="J6" s="78" t="inlineStr">
        <is>
          <t>CW35</t>
        </is>
      </c>
      <c r="K6" s="12">
        <f>IF($B6="","",_xlfn.LET(_xlpm.v,$F6,_xlpm.n,IF(ISNUMBER(_xlpm.v),_xlpm.v,IF(LEFT(UPPER(TRIM(_xlpm.v)),2)="CW",IFERROR(VALUE(SUBSTITUTE(UPPER(TRIM(_xlpm.v)),"CW","")),""),"")),IF(AND(ISNUMBER(_xlpm.n),_xlpm.n&gt;=1,_xlpm.n&lt;=52),"CW"&amp;_xlpm.n,"")))</f>
        <v/>
      </c>
      <c r="L6" s="15" t="inlineStr">
        <is>
          <t>N/A</t>
        </is>
      </c>
      <c r="M6" s="15" t="inlineStr">
        <is>
          <t>N/A</t>
        </is>
      </c>
      <c r="N6" s="15" t="inlineStr">
        <is>
          <t>N/A</t>
        </is>
      </c>
      <c r="O6" s="15" t="inlineStr">
        <is>
          <t>N/A</t>
        </is>
      </c>
      <c r="P6" s="16" t="n">
        <v>1</v>
      </c>
      <c r="Q6" s="17" t="n">
        <v>1</v>
      </c>
      <c r="R6" s="17" t="n">
        <v>1</v>
      </c>
      <c r="S6" s="18" t="n">
        <v>1</v>
      </c>
      <c r="T6" s="19">
        <f>IF($B6="","",_xlfn.LET(_xlpm.v,$H6,_xlpm.n,IF(ISNUMBER(_xlpm.v),_xlpm.v,IF(LEFT(UPPER(TRIM(_xlpm.v)),2)="CW",IFERROR(VALUE(SUBSTITUTE(UPPER(TRIM(_xlpm.v)),"CW","")),""),"")),IF(AND(ISNUMBER(_xlpm.n),_xlpm.n&gt;=1,_xlpm.n&lt;=52),"CW"&amp;_xlpm.n,"")))</f>
        <v/>
      </c>
      <c r="U6" s="17" t="inlineStr">
        <is>
          <t>N/A</t>
        </is>
      </c>
      <c r="V6" s="20">
        <f>IF($B6="","",$M6)</f>
        <v/>
      </c>
      <c r="W6" s="20" t="n">
        <v>1</v>
      </c>
      <c r="X6" s="29" t="n">
        <v>1</v>
      </c>
      <c r="Y6" s="30">
        <f>IF(OR($B6="",$J6=""),"",$J6)</f>
        <v/>
      </c>
      <c r="Z6" s="26">
        <f>IF(OR($B6="",$Q6=""),"",$Q6)</f>
        <v/>
      </c>
      <c r="AA6" s="26">
        <f>IF(OR($B6="",$R6=""),"",$R6)</f>
        <v/>
      </c>
      <c r="AB6" s="27">
        <f>IF($B6="","",$M6)</f>
        <v/>
      </c>
      <c r="AC6" s="27" t="n">
        <v>0</v>
      </c>
      <c r="AD6" s="31" t="n">
        <v>0</v>
      </c>
      <c r="AE6" s="41">
        <f>COUNTIF($L6:$P6,1)+COUNTIF($Q6:$S6,1)+COUNTIF($U6:$X6,1)+COUNTIF($Z6:$AD6,1)</f>
        <v/>
      </c>
      <c r="AF6" s="42">
        <f>COUNT($L6:$P6,$Q6:$S6,$U6:$X6,$Z6:$AD6)</f>
        <v/>
      </c>
      <c r="AG6" s="43">
        <f>IF(AF6=0,0,AE6/AF6)</f>
        <v/>
      </c>
      <c r="AH6" s="42">
        <f>IF($B6="","",IF(AF6=0,"Not Started",IF(AE6=AF6,"Complete",IF(AE6=0,"Not Started","In Progress"))))</f>
        <v/>
      </c>
      <c r="AI6" s="42" t="inlineStr">
        <is>
          <t>Wait FAT</t>
        </is>
      </c>
    </row>
    <row r="7" ht="20.1" customFormat="1" customHeight="1" s="79">
      <c r="A7" s="46">
        <f>IF(B7="","",ROW()-3)</f>
        <v/>
      </c>
      <c r="B7" s="46" t="n">
        <v>56090</v>
      </c>
      <c r="C7" s="75" t="inlineStr">
        <is>
          <t>D IN SC5-OEM</t>
        </is>
      </c>
      <c r="D7" s="46" t="inlineStr">
        <is>
          <t>Chettapong</t>
        </is>
      </c>
      <c r="E7" s="46" t="inlineStr">
        <is>
          <t>NN</t>
        </is>
      </c>
      <c r="F7" s="76" t="inlineStr">
        <is>
          <t>CW22</t>
        </is>
      </c>
      <c r="G7" s="46" t="inlineStr">
        <is>
          <t>CW36</t>
        </is>
      </c>
      <c r="H7" s="46" t="inlineStr">
        <is>
          <t>CW40</t>
        </is>
      </c>
      <c r="I7" s="77" t="inlineStr">
        <is>
          <t>CW45</t>
        </is>
      </c>
      <c r="J7" s="78" t="inlineStr">
        <is>
          <t>CW46</t>
        </is>
      </c>
      <c r="K7" s="12">
        <f>IF($B7="","",_xlfn.LET(_xlpm.v,$F7,_xlpm.n,IF(ISNUMBER(_xlpm.v),_xlpm.v,IF(LEFT(UPPER(TRIM(_xlpm.v)),2)="CW",IFERROR(VALUE(SUBSTITUTE(UPPER(TRIM(_xlpm.v)),"CW","")),""),"")),IF(AND(ISNUMBER(_xlpm.n),_xlpm.n&gt;=1,_xlpm.n&lt;=52),"CW"&amp;_xlpm.n,"")))</f>
        <v/>
      </c>
      <c r="L7" s="15" t="inlineStr">
        <is>
          <t>N/A</t>
        </is>
      </c>
      <c r="M7" s="15" t="inlineStr">
        <is>
          <t>N/A</t>
        </is>
      </c>
      <c r="N7" s="15" t="n">
        <v>1</v>
      </c>
      <c r="O7" s="15" t="n">
        <v>1</v>
      </c>
      <c r="P7" s="16" t="n">
        <v>1</v>
      </c>
      <c r="Q7" s="17" t="n">
        <v>1</v>
      </c>
      <c r="R7" s="17" t="n">
        <v>1</v>
      </c>
      <c r="S7" s="18" t="n">
        <v>0</v>
      </c>
      <c r="T7" s="19">
        <f>IF($B7="","",_xlfn.LET(_xlpm.v,$H7,_xlpm.n,IF(ISNUMBER(_xlpm.v),_xlpm.v,IF(LEFT(UPPER(TRIM(_xlpm.v)),2)="CW",IFERROR(VALUE(SUBSTITUTE(UPPER(TRIM(_xlpm.v)),"CW","")),""),"")),IF(AND(ISNUMBER(_xlpm.n),_xlpm.n&gt;=1,_xlpm.n&lt;=52),"CW"&amp;_xlpm.n,"")))</f>
        <v/>
      </c>
      <c r="U7" s="17" t="n">
        <v>1</v>
      </c>
      <c r="V7" s="20">
        <f>IF($B7="","",$M7)</f>
        <v/>
      </c>
      <c r="W7" s="20" t="n">
        <v>1</v>
      </c>
      <c r="X7" s="29" t="n">
        <v>0</v>
      </c>
      <c r="Y7" s="30">
        <f>IF(OR($B7="",$J7=""),"",$J7)</f>
        <v/>
      </c>
      <c r="Z7" s="26">
        <f>IF(OR($B7="",$Q7=""),"",$Q7)</f>
        <v/>
      </c>
      <c r="AA7" s="26">
        <f>IF(OR($B7="",$R7=""),"",$R7)</f>
        <v/>
      </c>
      <c r="AB7" s="27">
        <f>IF($B7="","",$M7)</f>
        <v/>
      </c>
      <c r="AC7" s="27" t="n">
        <v>0</v>
      </c>
      <c r="AD7" s="31" t="n">
        <v>0</v>
      </c>
      <c r="AE7" s="41">
        <f>COUNTIF($L7:$P7,1)+COUNTIF($Q7:$S7,1)+COUNTIF($U7:$X7,1)+COUNTIF($Z7:$AD7,1)</f>
        <v/>
      </c>
      <c r="AF7" s="42">
        <f>COUNT($L7:$P7,$Q7:$S7,$U7:$X7,$Z7:$AD7)</f>
        <v/>
      </c>
      <c r="AG7" s="43">
        <f>IF(AF7=0,0,AE7/AF7)</f>
        <v/>
      </c>
      <c r="AH7" s="42">
        <f>IF($B7="","",IF(AF7=0,"Not Started",IF(AE7=AF7,"Complete",IF(AE7=0,"Not Started","In Progress"))))</f>
        <v/>
      </c>
      <c r="AI7" s="42" t="inlineStr">
        <is>
          <t>on process</t>
        </is>
      </c>
    </row>
    <row r="8" ht="20.1" customHeight="1">
      <c r="A8" s="55">
        <f>IF(B8="","",ROW()-3)</f>
        <v/>
      </c>
      <c r="B8" s="55" t="n">
        <v>56000</v>
      </c>
      <c r="C8" s="56" t="inlineStr">
        <is>
          <t>E TH SC5-CondomFeeder_TH</t>
        </is>
      </c>
      <c r="D8" s="55" t="inlineStr">
        <is>
          <t>Adisorn</t>
        </is>
      </c>
      <c r="E8" s="55" t="inlineStr">
        <is>
          <t>NN</t>
        </is>
      </c>
      <c r="F8" s="57" t="inlineStr">
        <is>
          <t>CW10</t>
        </is>
      </c>
      <c r="G8" s="55" t="inlineStr">
        <is>
          <t>CW19</t>
        </is>
      </c>
      <c r="H8" s="55" t="inlineStr">
        <is>
          <t>CW29</t>
        </is>
      </c>
      <c r="I8" s="58" t="inlineStr">
        <is>
          <t>CW43</t>
        </is>
      </c>
      <c r="J8" s="59" t="inlineStr">
        <is>
          <t>CW49</t>
        </is>
      </c>
      <c r="K8" s="60">
        <f>IF($B8="","",_xlfn.LET(_xlpm.v,$F8,_xlpm.n,IF(ISNUMBER(_xlpm.v),_xlpm.v,IF(LEFT(UPPER(TRIM(_xlpm.v)),2)="CW",IFERROR(VALUE(SUBSTITUTE(UPPER(TRIM(_xlpm.v)),"CW","")),""),"")),IF(AND(ISNUMBER(_xlpm.n),_xlpm.n&gt;=1,_xlpm.n&lt;=52),"CW"&amp;_xlpm.n,"")))</f>
        <v/>
      </c>
      <c r="L8" s="61" t="inlineStr">
        <is>
          <t>N/A</t>
        </is>
      </c>
      <c r="M8" s="61" t="inlineStr">
        <is>
          <t>N/A</t>
        </is>
      </c>
      <c r="N8" s="61" t="n">
        <v>1</v>
      </c>
      <c r="O8" s="61" t="n">
        <v>1</v>
      </c>
      <c r="P8" s="62" t="n">
        <v>1</v>
      </c>
      <c r="Q8" s="63" t="n">
        <v>1</v>
      </c>
      <c r="R8" s="63" t="n">
        <v>0</v>
      </c>
      <c r="S8" s="64" t="n">
        <v>0</v>
      </c>
      <c r="T8" s="65">
        <f>IF($B8="","",_xlfn.LET(_xlpm.v,$H8,_xlpm.n,IF(ISNUMBER(_xlpm.v),_xlpm.v,IF(LEFT(UPPER(TRIM(_xlpm.v)),2)="CW",IFERROR(VALUE(SUBSTITUTE(UPPER(TRIM(_xlpm.v)),"CW","")),""),"")),IF(AND(ISNUMBER(_xlpm.n),_xlpm.n&gt;=1,_xlpm.n&lt;=52),"CW"&amp;_xlpm.n,"")))</f>
        <v/>
      </c>
      <c r="U8" s="63" t="n">
        <v>1</v>
      </c>
      <c r="V8" s="66">
        <f>IF($B8="","",$M8)</f>
        <v/>
      </c>
      <c r="W8" s="66" t="n">
        <v>0</v>
      </c>
      <c r="X8" s="67" t="n">
        <v>0</v>
      </c>
      <c r="Y8" s="68">
        <f>IF(OR($B8="",$J8=""),"",$J8)</f>
        <v/>
      </c>
      <c r="Z8" s="69">
        <f>IF(OR($B8="",$Q8=""),"",$Q8)</f>
        <v/>
      </c>
      <c r="AA8" s="69">
        <f>IF(OR($B8="",$R8=""),"",$R8)</f>
        <v/>
      </c>
      <c r="AB8" s="70">
        <f>IF($B8="","",$M8)</f>
        <v/>
      </c>
      <c r="AC8" s="70" t="n">
        <v>0</v>
      </c>
      <c r="AD8" s="71" t="n">
        <v>0</v>
      </c>
      <c r="AE8" s="72">
        <f>COUNTIF($L8:$P8,1)+COUNTIF($Q8:$S8,1)+COUNTIF($U8:$X8,1)+COUNTIF($Z8:$AD8,1)</f>
        <v/>
      </c>
      <c r="AF8" s="73">
        <f>COUNT($L8:$P8,$Q8:$S8,$U8:$X8,$Z8:$AD8)</f>
        <v/>
      </c>
      <c r="AG8" s="74">
        <f>IF(AF8=0,0,AE8/AF8)</f>
        <v/>
      </c>
      <c r="AH8" s="73">
        <f>IF($B8="","",IF(AF8=0,"Not Started",IF(AE8=AF8,"Complete",IF(AE8=0,"Not Started","In Progress"))))</f>
        <v/>
      </c>
      <c r="AI8" s="73" t="n"/>
    </row>
    <row r="9">
      <c r="A9" s="46">
        <f>IF(B9="","",ROW()-3)</f>
        <v/>
      </c>
      <c r="B9" s="47" t="n">
        <v>56090</v>
      </c>
      <c r="C9" s="48" t="inlineStr">
        <is>
          <t>F_IN_SC5-OEM</t>
        </is>
      </c>
      <c r="D9" s="47" t="inlineStr">
        <is>
          <t>Chettapong</t>
        </is>
      </c>
      <c r="E9" s="47" t="n"/>
      <c r="F9" s="49" t="inlineStr">
        <is>
          <t>CW22</t>
        </is>
      </c>
      <c r="G9" s="47" t="inlineStr">
        <is>
          <t>CW36</t>
        </is>
      </c>
      <c r="H9" s="47" t="inlineStr">
        <is>
          <t>CW40</t>
        </is>
      </c>
      <c r="I9" s="52" t="inlineStr">
        <is>
          <t>CW45</t>
        </is>
      </c>
      <c r="J9" s="50" t="n"/>
      <c r="K9" s="12">
        <f>IF($B9="","",_xlfn.LET(_xlpm.v,$F9,_xlpm.n,IF(ISNUMBER(_xlpm.v),_xlpm.v,IF(LEFT(UPPER(TRIM(_xlpm.v)),2)="CW",IFERROR(VALUE(SUBSTITUTE(UPPER(TRIM(_xlpm.v)),"CW","")),""),"")),IF(AND(ISNUMBER(_xlpm.n),_xlpm.n&gt;=1,_xlpm.n&lt;=52),"CW"&amp;_xlpm.n,"")))</f>
        <v/>
      </c>
      <c r="L9" s="15" t="inlineStr">
        <is>
          <t>N/A</t>
        </is>
      </c>
      <c r="M9" s="15" t="inlineStr">
        <is>
          <t>N/A</t>
        </is>
      </c>
      <c r="N9" s="15" t="inlineStr">
        <is>
          <t>N/A</t>
        </is>
      </c>
      <c r="O9" s="15" t="inlineStr">
        <is>
          <t>N/A</t>
        </is>
      </c>
      <c r="P9" s="16" t="inlineStr">
        <is>
          <t>N/A</t>
        </is>
      </c>
      <c r="Q9" s="17" t="inlineStr">
        <is>
          <t>N/A</t>
        </is>
      </c>
      <c r="R9" s="17" t="inlineStr">
        <is>
          <t>N/A</t>
        </is>
      </c>
      <c r="S9" s="18" t="inlineStr">
        <is>
          <t>N/A</t>
        </is>
      </c>
      <c r="T9" s="19">
        <f>IF($B9="","",_xlfn.LET(_xlpm.v,$H9,_xlpm.n,IF(ISNUMBER(_xlpm.v),_xlpm.v,IF(LEFT(UPPER(TRIM(_xlpm.v)),2)="CW",IFERROR(VALUE(SUBSTITUTE(UPPER(TRIM(_xlpm.v)),"CW","")),""),"")),IF(AND(ISNUMBER(_xlpm.n),_xlpm.n&gt;=1,_xlpm.n&lt;=52),"CW"&amp;_xlpm.n,"")))</f>
        <v/>
      </c>
      <c r="U9" s="17" t="inlineStr">
        <is>
          <t>N/A</t>
        </is>
      </c>
      <c r="V9" s="20">
        <f>IF($B9="","",$M9)</f>
        <v/>
      </c>
      <c r="W9" s="20" t="inlineStr">
        <is>
          <t>N/A</t>
        </is>
      </c>
      <c r="X9" s="29" t="inlineStr">
        <is>
          <t>N/A</t>
        </is>
      </c>
      <c r="Y9" s="30">
        <f>IF(OR($B9="",$J9=""),"",$J9)</f>
        <v/>
      </c>
      <c r="Z9" s="26">
        <f>IF(OR($B9="",$Q9=""),"",$Q9)</f>
        <v/>
      </c>
      <c r="AA9" s="26">
        <f>IF(OR($B9="",$R9=""),"",$R9)</f>
        <v/>
      </c>
      <c r="AB9" s="27">
        <f>IF($B9="","",$M9)</f>
        <v/>
      </c>
      <c r="AC9" s="27" t="inlineStr">
        <is>
          <t>N/A</t>
        </is>
      </c>
      <c r="AD9" s="31" t="inlineStr">
        <is>
          <t>N/A</t>
        </is>
      </c>
      <c r="AE9" s="41">
        <f>COUNTIF($L9:$P9,1)+COUNTIF($Q9:$S9,1)+COUNTIF($U9:$X9,1)+COUNTIF($Z9:$AD9,1)</f>
        <v/>
      </c>
      <c r="AF9" s="42">
        <f>COUNT($L9:$P9,$Q9:$S9,$U9:$X9,$Z9:$AD9)</f>
        <v/>
      </c>
      <c r="AG9" s="43">
        <f>IF(AF9=0,0,AE9/AF9)</f>
        <v/>
      </c>
      <c r="AH9" s="42">
        <f>IF($B9="","",IF(AF9=0,"Not Started",IF(AE9=AF9,"Complete",IF(AE9=0,"Not Started","In Progress"))))</f>
        <v/>
      </c>
      <c r="AI9" s="45" t="inlineStr">
        <is>
          <t>Added from Delivery Overview</t>
        </is>
      </c>
    </row>
    <row r="10">
      <c r="A10" s="46">
        <f>IF(B10="","",ROW()-3)</f>
        <v/>
      </c>
      <c r="B10" s="47" t="n">
        <v>55733</v>
      </c>
      <c r="C10" s="48" t="inlineStr">
        <is>
          <t>G_IN_HC5</t>
        </is>
      </c>
      <c r="D10" s="47" t="inlineStr">
        <is>
          <t>Chettapong</t>
        </is>
      </c>
      <c r="E10" s="47" t="n"/>
      <c r="F10" s="49" t="inlineStr">
        <is>
          <t>CW18</t>
        </is>
      </c>
      <c r="G10" s="47" t="inlineStr">
        <is>
          <t>CW25</t>
        </is>
      </c>
      <c r="H10" s="47" t="inlineStr">
        <is>
          <t>CW26</t>
        </is>
      </c>
      <c r="I10" s="52" t="inlineStr">
        <is>
          <t>CW7</t>
        </is>
      </c>
      <c r="J10" s="50" t="inlineStr">
        <is>
          <t>CW35</t>
        </is>
      </c>
      <c r="K10" s="12">
        <f>IF($B10="","",_xlfn.LET(_xlpm.v,$F10,_xlpm.n,IF(ISNUMBER(_xlpm.v),_xlpm.v,IF(LEFT(UPPER(TRIM(_xlpm.v)),2)="CW",IFERROR(VALUE(SUBSTITUTE(UPPER(TRIM(_xlpm.v)),"CW","")),""),"")),IF(AND(ISNUMBER(_xlpm.n),_xlpm.n&gt;=1,_xlpm.n&lt;=52),"CW"&amp;_xlpm.n,"")))</f>
        <v/>
      </c>
      <c r="L10" s="15" t="inlineStr">
        <is>
          <t>N/A</t>
        </is>
      </c>
      <c r="M10" s="15" t="inlineStr">
        <is>
          <t>N/A</t>
        </is>
      </c>
      <c r="N10" s="15" t="inlineStr">
        <is>
          <t>N/A</t>
        </is>
      </c>
      <c r="O10" s="15" t="inlineStr">
        <is>
          <t>N/A</t>
        </is>
      </c>
      <c r="P10" s="16" t="inlineStr">
        <is>
          <t>N/A</t>
        </is>
      </c>
      <c r="Q10" s="17" t="inlineStr">
        <is>
          <t>N/A</t>
        </is>
      </c>
      <c r="R10" s="17" t="inlineStr">
        <is>
          <t>N/A</t>
        </is>
      </c>
      <c r="S10" s="18" t="inlineStr">
        <is>
          <t>N/A</t>
        </is>
      </c>
      <c r="T10" s="19">
        <f>IF($B10="","",_xlfn.LET(_xlpm.v,$H10,_xlpm.n,IF(ISNUMBER(_xlpm.v),_xlpm.v,IF(LEFT(UPPER(TRIM(_xlpm.v)),2)="CW",IFERROR(VALUE(SUBSTITUTE(UPPER(TRIM(_xlpm.v)),"CW","")),""),"")),IF(AND(ISNUMBER(_xlpm.n),_xlpm.n&gt;=1,_xlpm.n&lt;=52),"CW"&amp;_xlpm.n,"")))</f>
        <v/>
      </c>
      <c r="U10" s="17" t="inlineStr">
        <is>
          <t>N/A</t>
        </is>
      </c>
      <c r="V10" s="20">
        <f>IF($B10="","",$M10)</f>
        <v/>
      </c>
      <c r="W10" s="20" t="inlineStr">
        <is>
          <t>N/A</t>
        </is>
      </c>
      <c r="X10" s="29" t="inlineStr">
        <is>
          <t>N/A</t>
        </is>
      </c>
      <c r="Y10" s="30">
        <f>IF(OR($B10="",$J10=""),"",$J10)</f>
        <v/>
      </c>
      <c r="Z10" s="26">
        <f>IF(OR($B10="",$Q10=""),"",$Q10)</f>
        <v/>
      </c>
      <c r="AA10" s="26">
        <f>IF(OR($B10="",$R10=""),"",$R10)</f>
        <v/>
      </c>
      <c r="AB10" s="27">
        <f>IF($B10="","",$M10)</f>
        <v/>
      </c>
      <c r="AC10" s="27" t="inlineStr">
        <is>
          <t>N/A</t>
        </is>
      </c>
      <c r="AD10" s="31" t="inlineStr">
        <is>
          <t>N/A</t>
        </is>
      </c>
      <c r="AE10" s="41">
        <f>COUNTIF($L10:$P10,1)+COUNTIF($Q10:$S10,1)+COUNTIF($U10:$X10,1)+COUNTIF($Z10:$AD10,1)</f>
        <v/>
      </c>
      <c r="AF10" s="42">
        <f>COUNT($L10:$P10,$Q10:$S10,$U10:$X10,$Z10:$AD10)</f>
        <v/>
      </c>
      <c r="AG10" s="43">
        <f>IF(AF10=0,0,AE10/AF10)</f>
        <v/>
      </c>
      <c r="AH10" s="42">
        <f>IF($B10="","",IF(AF10=0,"Not Started",IF(AE10=AF10,"Complete",IF(AE10=0,"Not Started","In Progress"))))</f>
        <v/>
      </c>
      <c r="AI10" s="45" t="inlineStr">
        <is>
          <t>Added from Delivery Overview</t>
        </is>
      </c>
    </row>
    <row r="11">
      <c r="A11" s="46">
        <f>IF(B11="","",ROW()-3)</f>
        <v/>
      </c>
      <c r="B11" s="47" t="n">
        <v>56300</v>
      </c>
      <c r="C11" s="48" t="inlineStr">
        <is>
          <t>F_TH-FP10 Rockwell PLC (POP)</t>
        </is>
      </c>
      <c r="D11" s="47" t="inlineStr">
        <is>
          <t>Mladen</t>
        </is>
      </c>
      <c r="E11" s="47" t="n"/>
      <c r="F11" s="49" t="inlineStr">
        <is>
          <t>CW41</t>
        </is>
      </c>
      <c r="G11" s="47" t="inlineStr">
        <is>
          <t>CW49</t>
        </is>
      </c>
      <c r="H11" s="47" t="inlineStr">
        <is>
          <t>CW51</t>
        </is>
      </c>
      <c r="I11" s="52" t="inlineStr">
        <is>
          <t>CW17</t>
        </is>
      </c>
      <c r="J11" s="50" t="inlineStr">
        <is>
          <t>CW20</t>
        </is>
      </c>
      <c r="K11" s="12">
        <f>IF($B11="","",_xlfn.LET(_xlpm.v,$F11,_xlpm.n,IF(ISNUMBER(_xlpm.v),_xlpm.v,IF(LEFT(UPPER(TRIM(_xlpm.v)),2)="CW",IFERROR(VALUE(SUBSTITUTE(UPPER(TRIM(_xlpm.v)),"CW","")),""),"")),IF(AND(ISNUMBER(_xlpm.n),_xlpm.n&gt;=1,_xlpm.n&lt;=52),"CW"&amp;_xlpm.n,"")))</f>
        <v/>
      </c>
      <c r="L11" s="15" t="inlineStr">
        <is>
          <t>N/A</t>
        </is>
      </c>
      <c r="M11" s="15" t="inlineStr">
        <is>
          <t>N/A</t>
        </is>
      </c>
      <c r="N11" s="15" t="inlineStr">
        <is>
          <t>N/A</t>
        </is>
      </c>
      <c r="O11" s="15" t="inlineStr">
        <is>
          <t>N/A</t>
        </is>
      </c>
      <c r="P11" s="16" t="inlineStr">
        <is>
          <t>N/A</t>
        </is>
      </c>
      <c r="Q11" s="17" t="inlineStr">
        <is>
          <t>N/A</t>
        </is>
      </c>
      <c r="R11" s="17" t="inlineStr">
        <is>
          <t>N/A</t>
        </is>
      </c>
      <c r="S11" s="18" t="inlineStr">
        <is>
          <t>N/A</t>
        </is>
      </c>
      <c r="T11" s="19">
        <f>IF($B11="","",_xlfn.LET(_xlpm.v,$H11,_xlpm.n,IF(ISNUMBER(_xlpm.v),_xlpm.v,IF(LEFT(UPPER(TRIM(_xlpm.v)),2)="CW",IFERROR(VALUE(SUBSTITUTE(UPPER(TRIM(_xlpm.v)),"CW","")),""),"")),IF(AND(ISNUMBER(_xlpm.n),_xlpm.n&gt;=1,_xlpm.n&lt;=52),"CW"&amp;_xlpm.n,"")))</f>
        <v/>
      </c>
      <c r="U11" s="17" t="inlineStr">
        <is>
          <t>N/A</t>
        </is>
      </c>
      <c r="V11" s="20">
        <f>IF($B11="","",$M11)</f>
        <v/>
      </c>
      <c r="W11" s="20" t="inlineStr">
        <is>
          <t>N/A</t>
        </is>
      </c>
      <c r="X11" s="29" t="inlineStr">
        <is>
          <t>N/A</t>
        </is>
      </c>
      <c r="Y11" s="30">
        <f>IF(OR($B11="",$J11=""),"",$J11)</f>
        <v/>
      </c>
      <c r="Z11" s="26">
        <f>IF(OR($B11="",$Q11=""),"",$Q11)</f>
        <v/>
      </c>
      <c r="AA11" s="26">
        <f>IF(OR($B11="",$R11=""),"",$R11)</f>
        <v/>
      </c>
      <c r="AB11" s="27">
        <f>IF($B11="","",$M11)</f>
        <v/>
      </c>
      <c r="AC11" s="27" t="inlineStr">
        <is>
          <t>N/A</t>
        </is>
      </c>
      <c r="AD11" s="31" t="inlineStr">
        <is>
          <t>N/A</t>
        </is>
      </c>
      <c r="AE11" s="41">
        <f>COUNTIF($L11:$P11,1)+COUNTIF($Q11:$S11,1)+COUNTIF($U11:$X11,1)+COUNTIF($Z11:$AD11,1)</f>
        <v/>
      </c>
      <c r="AF11" s="42">
        <f>COUNT($L11:$P11,$Q11:$S11,$U11:$X11,$Z11:$AD11)</f>
        <v/>
      </c>
      <c r="AG11" s="43">
        <f>IF(AF11=0,0,AE11/AF11)</f>
        <v/>
      </c>
      <c r="AH11" s="42">
        <f>IF($B11="","",IF(AF11=0,"Not Started",IF(AE11=AF11,"Complete",IF(AE11=0,"Not Started","In Progress"))))</f>
        <v/>
      </c>
      <c r="AI11" s="45" t="inlineStr">
        <is>
          <t>Added from Delivery Overview</t>
        </is>
      </c>
    </row>
    <row r="12">
      <c r="A12" s="8">
        <f>IF(B12="","",ROW()-3)</f>
        <v/>
      </c>
      <c r="B12" s="6" t="n">
        <v>56040</v>
      </c>
      <c r="C12" s="9" t="inlineStr">
        <is>
          <t>B_CN_SC5-CondomFeeder</t>
        </is>
      </c>
      <c r="D12" s="6" t="inlineStr">
        <is>
          <t>Karan</t>
        </is>
      </c>
      <c r="E12" s="6" t="n"/>
      <c r="F12" s="5" t="inlineStr">
        <is>
          <t>CW6</t>
        </is>
      </c>
      <c r="G12" s="6" t="inlineStr">
        <is>
          <t>CW7</t>
        </is>
      </c>
      <c r="H12" s="6" t="inlineStr">
        <is>
          <t>CW27</t>
        </is>
      </c>
      <c r="I12" s="53" t="inlineStr">
        <is>
          <t>CW37</t>
        </is>
      </c>
      <c r="J12" s="39" t="inlineStr">
        <is>
          <t>CW41</t>
        </is>
      </c>
      <c r="K12" s="12">
        <f>IF($B12="","",_xlfn.LET(_xlpm.v,$F12,_xlpm.n,IF(ISNUMBER(_xlpm.v),_xlpm.v,IF(LEFT(UPPER(TRIM(_xlpm.v)),2)="CW",IFERROR(VALUE(SUBSTITUTE(UPPER(TRIM(_xlpm.v)),"CW","")),""),"")),IF(AND(ISNUMBER(_xlpm.n),_xlpm.n&gt;=1,_xlpm.n&lt;=52),"CW"&amp;_xlpm.n,"")))</f>
        <v/>
      </c>
      <c r="L12" s="15" t="inlineStr">
        <is>
          <t>N/A</t>
        </is>
      </c>
      <c r="M12" s="15" t="inlineStr">
        <is>
          <t>N/A</t>
        </is>
      </c>
      <c r="N12" s="15" t="inlineStr">
        <is>
          <t>N/A</t>
        </is>
      </c>
      <c r="O12" s="15" t="inlineStr">
        <is>
          <t>N/A</t>
        </is>
      </c>
      <c r="P12" s="16" t="inlineStr">
        <is>
          <t>N/A</t>
        </is>
      </c>
      <c r="Q12" s="17" t="inlineStr">
        <is>
          <t>N/A</t>
        </is>
      </c>
      <c r="R12" s="17" t="inlineStr">
        <is>
          <t>N/A</t>
        </is>
      </c>
      <c r="S12" s="18" t="inlineStr">
        <is>
          <t>N/A</t>
        </is>
      </c>
      <c r="T12" s="19">
        <f>IF($B12="","",_xlfn.LET(_xlpm.v,$H12,_xlpm.n,IF(ISNUMBER(_xlpm.v),_xlpm.v,IF(LEFT(UPPER(TRIM(_xlpm.v)),2)="CW",IFERROR(VALUE(SUBSTITUTE(UPPER(TRIM(_xlpm.v)),"CW","")),""),"")),IF(AND(ISNUMBER(_xlpm.n),_xlpm.n&gt;=1,_xlpm.n&lt;=52),"CW"&amp;_xlpm.n,"")))</f>
        <v/>
      </c>
      <c r="U12" s="17" t="inlineStr">
        <is>
          <t>N/A</t>
        </is>
      </c>
      <c r="V12" s="20">
        <f>IF($B12="","",$M12)</f>
        <v/>
      </c>
      <c r="W12" s="20" t="inlineStr">
        <is>
          <t>N/A</t>
        </is>
      </c>
      <c r="X12" s="29" t="inlineStr">
        <is>
          <t>N/A</t>
        </is>
      </c>
      <c r="Y12" s="30">
        <f>IF(OR($B12="",$J12=""),"",$J12)</f>
        <v/>
      </c>
      <c r="Z12" s="26">
        <f>IF(OR($B12="",$Q12=""),"",$Q12)</f>
        <v/>
      </c>
      <c r="AA12" s="26">
        <f>IF(OR($B12="",$R12=""),"",$R12)</f>
        <v/>
      </c>
      <c r="AB12" s="27">
        <f>IF($B12="","",$M12)</f>
        <v/>
      </c>
      <c r="AC12" s="27" t="inlineStr">
        <is>
          <t>N/A</t>
        </is>
      </c>
      <c r="AD12" s="31" t="inlineStr">
        <is>
          <t>N/A</t>
        </is>
      </c>
      <c r="AE12" s="41">
        <f>COUNTIF($L12:$P12,1)+COUNTIF($Q12:$S12,1)+COUNTIF($U12:$X12,1)+COUNTIF($Z12:$AD12,1)</f>
        <v/>
      </c>
      <c r="AF12" s="42">
        <f>COUNT($L12:$P12,$Q12:$S12,$U12:$X12,$Z12:$AD12)</f>
        <v/>
      </c>
      <c r="AG12" s="43">
        <f>IF(AF12=0,0,AE12/AF12)</f>
        <v/>
      </c>
      <c r="AH12" s="42">
        <f>IF($B12="","",IF(AF12=0,"Not Started",IF(AE12=AF12,"Complete",IF(AE12=0,"Not Started","In Progress"))))</f>
        <v/>
      </c>
      <c r="AI12" s="45" t="inlineStr">
        <is>
          <t>Added from Delivery Overview</t>
        </is>
      </c>
    </row>
    <row r="13">
      <c r="A13" s="8">
        <f>IF(B13="","",ROW()-3)</f>
        <v/>
      </c>
      <c r="B13" s="6" t="n"/>
      <c r="C13" s="9" t="n"/>
      <c r="D13" s="6" t="n"/>
      <c r="E13" s="6" t="n"/>
      <c r="F13" s="5" t="n"/>
      <c r="G13" s="6" t="n"/>
      <c r="H13" s="6" t="n"/>
      <c r="I13" s="53" t="n"/>
      <c r="J13" s="39" t="n"/>
      <c r="K13" s="12">
        <f>IF($B13="","",_xlfn.LET(_xlpm.v,$F13,_xlpm.n,IF(ISNUMBER(_xlpm.v),_xlpm.v,IF(LEFT(UPPER(TRIM(_xlpm.v)),2)="CW",IFERROR(VALUE(SUBSTITUTE(UPPER(TRIM(_xlpm.v)),"CW","")),""),"")),IF(AND(ISNUMBER(_xlpm.n),_xlpm.n&gt;=1,_xlpm.n&lt;=52),"CW"&amp;_xlpm.n,"")))</f>
        <v/>
      </c>
      <c r="L13" s="15" t="n"/>
      <c r="M13" s="15" t="n"/>
      <c r="N13" s="15" t="n"/>
      <c r="O13" s="15" t="n"/>
      <c r="P13" s="16" t="n"/>
      <c r="Q13" s="17" t="n"/>
      <c r="R13" s="17" t="n"/>
      <c r="S13" s="18" t="n"/>
      <c r="T13" s="19">
        <f>IF($B13="","",_xlfn.LET(_xlpm.v,$H13,_xlpm.n,IF(ISNUMBER(_xlpm.v),_xlpm.v,IF(LEFT(UPPER(TRIM(_xlpm.v)),2)="CW",IFERROR(VALUE(SUBSTITUTE(UPPER(TRIM(_xlpm.v)),"CW","")),""),"")),IF(AND(ISNUMBER(_xlpm.n),_xlpm.n&gt;=1,_xlpm.n&lt;=52),"CW"&amp;_xlpm.n,"")))</f>
        <v/>
      </c>
      <c r="U13" s="17" t="n"/>
      <c r="V13" s="20">
        <f>IF($B13="","",$M13)</f>
        <v/>
      </c>
      <c r="W13" s="20" t="n"/>
      <c r="X13" s="29" t="n"/>
      <c r="Y13" s="30">
        <f>IF(OR($B13="",$J13=""),"",$J13)</f>
        <v/>
      </c>
      <c r="Z13" s="26">
        <f>IF(OR($B13="",$Q13=""),"",$Q13)</f>
        <v/>
      </c>
      <c r="AA13" s="26">
        <f>IF(OR($B13="",$R13=""),"",$R13)</f>
        <v/>
      </c>
      <c r="AB13" s="27">
        <f>IF($B13="","",$M13)</f>
        <v/>
      </c>
      <c r="AC13" s="27" t="n"/>
      <c r="AD13" s="31" t="n"/>
      <c r="AE13" s="41">
        <f>COUNTIF($L13:$P13,1)+COUNTIF($Q13:$S13,1)+COUNTIF($U13:$X13,1)+COUNTIF($Z13:$AD13,1)</f>
        <v/>
      </c>
      <c r="AF13" s="42">
        <f>COUNT($L13:$P13,$Q13:$S13,$U13:$X13,$Z13:$AD13)</f>
        <v/>
      </c>
      <c r="AG13" s="43">
        <f>IF(AF13=0,0,AE13/AF13)</f>
        <v/>
      </c>
      <c r="AH13" s="42">
        <f>IF($B13="","",IF(AF13=0,"Not Started",IF(AE13=AF13,"Complete",IF(AE13=0,"Not Started","In Progress"))))</f>
        <v/>
      </c>
      <c r="AI13" s="45" t="n"/>
    </row>
    <row r="14">
      <c r="A14" s="8">
        <f>IF(B14="","",ROW()-3)</f>
        <v/>
      </c>
      <c r="B14" s="6" t="n"/>
      <c r="C14" s="9" t="n"/>
      <c r="D14" s="6" t="n"/>
      <c r="E14" s="6" t="n"/>
      <c r="F14" s="5" t="n"/>
      <c r="G14" s="6" t="n"/>
      <c r="H14" s="6" t="n"/>
      <c r="I14" s="53" t="n"/>
      <c r="J14" s="39" t="n"/>
      <c r="K14" s="12">
        <f>IF($B14="","",_xlfn.LET(_xlpm.v,$F14,_xlpm.n,IF(ISNUMBER(_xlpm.v),_xlpm.v,IF(LEFT(UPPER(TRIM(_xlpm.v)),2)="CW",IFERROR(VALUE(SUBSTITUTE(UPPER(TRIM(_xlpm.v)),"CW","")),""),"")),IF(AND(ISNUMBER(_xlpm.n),_xlpm.n&gt;=1,_xlpm.n&lt;=52),"CW"&amp;_xlpm.n,"")))</f>
        <v/>
      </c>
      <c r="L14" s="15" t="n"/>
      <c r="M14" s="15" t="n"/>
      <c r="N14" s="15" t="n"/>
      <c r="O14" s="15" t="n"/>
      <c r="P14" s="16" t="n"/>
      <c r="Q14" s="17" t="n"/>
      <c r="R14" s="17" t="n"/>
      <c r="S14" s="18" t="n"/>
      <c r="T14" s="19">
        <f>IF($B14="","",_xlfn.LET(_xlpm.v,$H14,_xlpm.n,IF(ISNUMBER(_xlpm.v),_xlpm.v,IF(LEFT(UPPER(TRIM(_xlpm.v)),2)="CW",IFERROR(VALUE(SUBSTITUTE(UPPER(TRIM(_xlpm.v)),"CW","")),""),"")),IF(AND(ISNUMBER(_xlpm.n),_xlpm.n&gt;=1,_xlpm.n&lt;=52),"CW"&amp;_xlpm.n,"")))</f>
        <v/>
      </c>
      <c r="U14" s="17" t="n"/>
      <c r="V14" s="20">
        <f>IF($B14="","",$M14)</f>
        <v/>
      </c>
      <c r="W14" s="20" t="n"/>
      <c r="X14" s="29" t="n"/>
      <c r="Y14" s="30">
        <f>IF(OR($B14="",$J14=""),"",$J14)</f>
        <v/>
      </c>
      <c r="Z14" s="26">
        <f>IF(OR($B14="",$Q14=""),"",$Q14)</f>
        <v/>
      </c>
      <c r="AA14" s="26">
        <f>IF(OR($B14="",$R14=""),"",$R14)</f>
        <v/>
      </c>
      <c r="AB14" s="27">
        <f>IF($B14="","",$M14)</f>
        <v/>
      </c>
      <c r="AC14" s="27" t="n"/>
      <c r="AD14" s="31" t="n"/>
      <c r="AE14" s="41">
        <f>COUNTIF($L14:$P14,1)+COUNTIF($Q14:$S14,1)+COUNTIF($U14:$X14,1)+COUNTIF($Z14:$AD14,1)</f>
        <v/>
      </c>
      <c r="AF14" s="42">
        <f>COUNT($L14:$P14,$Q14:$S14,$U14:$X14,$Z14:$AD14)</f>
        <v/>
      </c>
      <c r="AG14" s="43">
        <f>IF(AF14=0,0,AE14/AF14)</f>
        <v/>
      </c>
      <c r="AH14" s="42">
        <f>IF($B14="","",IF(AF14=0,"Not Started",IF(AE14=AF14,"Complete",IF(AE14=0,"Not Started","In Progress"))))</f>
        <v/>
      </c>
      <c r="AI14" s="45" t="n"/>
    </row>
    <row r="15">
      <c r="A15" s="8">
        <f>IF(B15="","",ROW()-3)</f>
        <v/>
      </c>
      <c r="B15" s="6" t="n"/>
      <c r="C15" s="9" t="n"/>
      <c r="D15" s="6" t="n"/>
      <c r="E15" s="6" t="n"/>
      <c r="F15" s="5" t="n"/>
      <c r="G15" s="6" t="n"/>
      <c r="H15" s="6" t="n"/>
      <c r="I15" s="53" t="n"/>
      <c r="J15" s="39" t="n"/>
      <c r="K15" s="12">
        <f>IF($B15="","",_xlfn.LET(_xlpm.v,$F15,_xlpm.n,IF(ISNUMBER(_xlpm.v),_xlpm.v,IF(LEFT(UPPER(TRIM(_xlpm.v)),2)="CW",IFERROR(VALUE(SUBSTITUTE(UPPER(TRIM(_xlpm.v)),"CW","")),""),"")),IF(AND(ISNUMBER(_xlpm.n),_xlpm.n&gt;=1,_xlpm.n&lt;=52),"CW"&amp;_xlpm.n,"")))</f>
        <v/>
      </c>
      <c r="L15" s="15" t="n"/>
      <c r="M15" s="15" t="n"/>
      <c r="N15" s="15" t="n"/>
      <c r="O15" s="15" t="n"/>
      <c r="P15" s="16" t="n"/>
      <c r="Q15" s="17" t="n"/>
      <c r="R15" s="17" t="n"/>
      <c r="S15" s="18" t="n"/>
      <c r="T15" s="19">
        <f>IF($B15="","",_xlfn.LET(_xlpm.v,$H15,_xlpm.n,IF(ISNUMBER(_xlpm.v),_xlpm.v,IF(LEFT(UPPER(TRIM(_xlpm.v)),2)="CW",IFERROR(VALUE(SUBSTITUTE(UPPER(TRIM(_xlpm.v)),"CW","")),""),"")),IF(AND(ISNUMBER(_xlpm.n),_xlpm.n&gt;=1,_xlpm.n&lt;=52),"CW"&amp;_xlpm.n,"")))</f>
        <v/>
      </c>
      <c r="U15" s="17" t="n"/>
      <c r="V15" s="20">
        <f>IF($B15="","",$M15)</f>
        <v/>
      </c>
      <c r="W15" s="20" t="n"/>
      <c r="X15" s="29" t="n"/>
      <c r="Y15" s="30">
        <f>IF(OR($B15="",$J15=""),"",$J15)</f>
        <v/>
      </c>
      <c r="Z15" s="26">
        <f>IF(OR($B15="",$Q15=""),"",$Q15)</f>
        <v/>
      </c>
      <c r="AA15" s="26">
        <f>IF(OR($B15="",$R15=""),"",$R15)</f>
        <v/>
      </c>
      <c r="AB15" s="27">
        <f>IF($B15="","",$M15)</f>
        <v/>
      </c>
      <c r="AC15" s="27" t="n"/>
      <c r="AD15" s="31" t="n"/>
      <c r="AE15" s="41">
        <f>COUNTIF($L15:$P15,1)+COUNTIF($Q15:$S15,1)+COUNTIF($U15:$X15,1)+COUNTIF($Z15:$AD15,1)</f>
        <v/>
      </c>
      <c r="AF15" s="42">
        <f>COUNT($L15:$P15,$Q15:$S15,$U15:$X15,$Z15:$AD15)</f>
        <v/>
      </c>
      <c r="AG15" s="43">
        <f>IF(AF15=0,0,AE15/AF15)</f>
        <v/>
      </c>
      <c r="AH15" s="42">
        <f>IF($B15="","",IF(AF15=0,"Not Started",IF(AE15=AF15,"Complete",IF(AE15=0,"Not Started","In Progress"))))</f>
        <v/>
      </c>
      <c r="AI15" s="45" t="n"/>
    </row>
    <row r="16">
      <c r="A16" s="8">
        <f>IF(B16="","",ROW()-3)</f>
        <v/>
      </c>
      <c r="B16" s="6" t="n"/>
      <c r="C16" s="9" t="n"/>
      <c r="D16" s="6" t="n"/>
      <c r="E16" s="6" t="n"/>
      <c r="F16" s="5" t="n"/>
      <c r="G16" s="6" t="n"/>
      <c r="H16" s="6" t="n"/>
      <c r="I16" s="53" t="n"/>
      <c r="J16" s="39" t="n"/>
      <c r="K16" s="12">
        <f>IF($B16="","",_xlfn.LET(_xlpm.v,$F16,_xlpm.n,IF(ISNUMBER(_xlpm.v),_xlpm.v,IF(LEFT(UPPER(TRIM(_xlpm.v)),2)="CW",IFERROR(VALUE(SUBSTITUTE(UPPER(TRIM(_xlpm.v)),"CW","")),""),"")),IF(AND(ISNUMBER(_xlpm.n),_xlpm.n&gt;=1,_xlpm.n&lt;=52),"CW"&amp;_xlpm.n,"")))</f>
        <v/>
      </c>
      <c r="L16" s="15" t="n"/>
      <c r="M16" s="15" t="n"/>
      <c r="N16" s="15" t="n"/>
      <c r="O16" s="15" t="n"/>
      <c r="P16" s="16" t="n"/>
      <c r="Q16" s="17" t="n"/>
      <c r="R16" s="17" t="n"/>
      <c r="S16" s="18" t="n"/>
      <c r="T16" s="19">
        <f>IF($B16="","",_xlfn.LET(_xlpm.v,$H16,_xlpm.n,IF(ISNUMBER(_xlpm.v),_xlpm.v,IF(LEFT(UPPER(TRIM(_xlpm.v)),2)="CW",IFERROR(VALUE(SUBSTITUTE(UPPER(TRIM(_xlpm.v)),"CW","")),""),"")),IF(AND(ISNUMBER(_xlpm.n),_xlpm.n&gt;=1,_xlpm.n&lt;=52),"CW"&amp;_xlpm.n,"")))</f>
        <v/>
      </c>
      <c r="U16" s="17" t="n"/>
      <c r="V16" s="20">
        <f>IF($B16="","",$M16)</f>
        <v/>
      </c>
      <c r="W16" s="20" t="n"/>
      <c r="X16" s="29" t="n"/>
      <c r="Y16" s="30">
        <f>IF(OR($B16="",$J16=""),"",$J16)</f>
        <v/>
      </c>
      <c r="Z16" s="26">
        <f>IF(OR($B16="",$Q16=""),"",$Q16)</f>
        <v/>
      </c>
      <c r="AA16" s="26">
        <f>IF(OR($B16="",$R16=""),"",$R16)</f>
        <v/>
      </c>
      <c r="AB16" s="27">
        <f>IF($B16="","",$M16)</f>
        <v/>
      </c>
      <c r="AC16" s="27" t="n"/>
      <c r="AD16" s="31" t="n"/>
      <c r="AE16" s="41">
        <f>COUNTIF($L16:$P16,1)+COUNTIF($Q16:$S16,1)+COUNTIF($U16:$X16,1)+COUNTIF($Z16:$AD16,1)</f>
        <v/>
      </c>
      <c r="AF16" s="42">
        <f>COUNT($L16:$P16,$Q16:$S16,$U16:$X16,$Z16:$AD16)</f>
        <v/>
      </c>
      <c r="AG16" s="43">
        <f>IF(AF16=0,0,AE16/AF16)</f>
        <v/>
      </c>
      <c r="AH16" s="42">
        <f>IF($B16="","",IF(AF16=0,"Not Started",IF(AE16=AF16,"Complete",IF(AE16=0,"Not Started","In Progress"))))</f>
        <v/>
      </c>
      <c r="AI16" s="45" t="n"/>
    </row>
    <row r="17">
      <c r="A17" s="8">
        <f>IF(B17="","",ROW()-3)</f>
        <v/>
      </c>
      <c r="B17" s="6" t="n"/>
      <c r="C17" s="9" t="n"/>
      <c r="D17" s="6" t="n"/>
      <c r="E17" s="6" t="n"/>
      <c r="F17" s="5" t="n"/>
      <c r="G17" s="6" t="n"/>
      <c r="H17" s="6" t="n"/>
      <c r="I17" s="53" t="n"/>
      <c r="J17" s="39" t="n"/>
      <c r="K17" s="12">
        <f>IF($B17="","",_xlfn.LET(_xlpm.v,$F17,_xlpm.n,IF(ISNUMBER(_xlpm.v),_xlpm.v,IF(LEFT(UPPER(TRIM(_xlpm.v)),2)="CW",IFERROR(VALUE(SUBSTITUTE(UPPER(TRIM(_xlpm.v)),"CW","")),""),"")),IF(AND(ISNUMBER(_xlpm.n),_xlpm.n&gt;=1,_xlpm.n&lt;=52),"CW"&amp;_xlpm.n,"")))</f>
        <v/>
      </c>
      <c r="L17" s="15" t="n"/>
      <c r="M17" s="15" t="n"/>
      <c r="N17" s="15" t="n"/>
      <c r="O17" s="15" t="n"/>
      <c r="P17" s="16" t="n"/>
      <c r="Q17" s="17" t="n"/>
      <c r="R17" s="17" t="n"/>
      <c r="S17" s="18" t="n"/>
      <c r="T17" s="19">
        <f>IF($B17="","",_xlfn.LET(_xlpm.v,$H17,_xlpm.n,IF(ISNUMBER(_xlpm.v),_xlpm.v,IF(LEFT(UPPER(TRIM(_xlpm.v)),2)="CW",IFERROR(VALUE(SUBSTITUTE(UPPER(TRIM(_xlpm.v)),"CW","")),""),"")),IF(AND(ISNUMBER(_xlpm.n),_xlpm.n&gt;=1,_xlpm.n&lt;=52),"CW"&amp;_xlpm.n,"")))</f>
        <v/>
      </c>
      <c r="U17" s="17" t="n"/>
      <c r="V17" s="20">
        <f>IF($B17="","",$M17)</f>
        <v/>
      </c>
      <c r="W17" s="20" t="n"/>
      <c r="X17" s="29" t="n"/>
      <c r="Y17" s="30">
        <f>IF(OR($B17="",$J17=""),"",$J17)</f>
        <v/>
      </c>
      <c r="Z17" s="26">
        <f>IF(OR($B17="",$Q17=""),"",$Q17)</f>
        <v/>
      </c>
      <c r="AA17" s="26">
        <f>IF(OR($B17="",$R17=""),"",$R17)</f>
        <v/>
      </c>
      <c r="AB17" s="27">
        <f>IF($B17="","",$M17)</f>
        <v/>
      </c>
      <c r="AC17" s="27" t="n"/>
      <c r="AD17" s="31" t="n"/>
      <c r="AE17" s="41">
        <f>COUNTIF($L17:$P17,1)+COUNTIF($Q17:$S17,1)+COUNTIF($U17:$X17,1)+COUNTIF($Z17:$AD17,1)</f>
        <v/>
      </c>
      <c r="AF17" s="42">
        <f>COUNT($L17:$P17,$Q17:$S17,$U17:$X17,$Z17:$AD17)</f>
        <v/>
      </c>
      <c r="AG17" s="43">
        <f>IF(AF17=0,0,AE17/AF17)</f>
        <v/>
      </c>
      <c r="AH17" s="42">
        <f>IF($B17="","",IF(AF17=0,"Not Started",IF(AE17=AF17,"Complete",IF(AE17=0,"Not Started","In Progress"))))</f>
        <v/>
      </c>
      <c r="AI17" s="45" t="n"/>
    </row>
    <row r="18">
      <c r="A18" s="8">
        <f>IF(B18="","",ROW()-3)</f>
        <v/>
      </c>
      <c r="B18" s="6" t="n"/>
      <c r="C18" s="9" t="n"/>
      <c r="D18" s="6" t="n"/>
      <c r="E18" s="6" t="n"/>
      <c r="F18" s="5" t="n"/>
      <c r="G18" s="6" t="n"/>
      <c r="H18" s="6" t="n"/>
      <c r="I18" s="53" t="n"/>
      <c r="J18" s="39" t="n"/>
      <c r="K18" s="12">
        <f>IF($B18="","",_xlfn.LET(_xlpm.v,$F18,_xlpm.n,IF(ISNUMBER(_xlpm.v),_xlpm.v,IF(LEFT(UPPER(TRIM(_xlpm.v)),2)="CW",IFERROR(VALUE(SUBSTITUTE(UPPER(TRIM(_xlpm.v)),"CW","")),""),"")),IF(AND(ISNUMBER(_xlpm.n),_xlpm.n&gt;=1,_xlpm.n&lt;=52),"CW"&amp;_xlpm.n,"")))</f>
        <v/>
      </c>
      <c r="L18" s="15" t="n"/>
      <c r="M18" s="15" t="n"/>
      <c r="N18" s="15" t="n"/>
      <c r="O18" s="15" t="n"/>
      <c r="P18" s="16" t="n"/>
      <c r="Q18" s="17" t="n"/>
      <c r="R18" s="17" t="n"/>
      <c r="S18" s="18" t="n"/>
      <c r="T18" s="19">
        <f>IF($B18="","",_xlfn.LET(_xlpm.v,$H18,_xlpm.n,IF(ISNUMBER(_xlpm.v),_xlpm.v,IF(LEFT(UPPER(TRIM(_xlpm.v)),2)="CW",IFERROR(VALUE(SUBSTITUTE(UPPER(TRIM(_xlpm.v)),"CW","")),""),"")),IF(AND(ISNUMBER(_xlpm.n),_xlpm.n&gt;=1,_xlpm.n&lt;=52),"CW"&amp;_xlpm.n,"")))</f>
        <v/>
      </c>
      <c r="U18" s="17" t="n"/>
      <c r="V18" s="20">
        <f>IF($B18="","",$M18)</f>
        <v/>
      </c>
      <c r="W18" s="20" t="n"/>
      <c r="X18" s="29" t="n"/>
      <c r="Y18" s="30">
        <f>IF(OR($B18="",$J18=""),"",$J18)</f>
        <v/>
      </c>
      <c r="Z18" s="26">
        <f>IF(OR($B18="",$Q18=""),"",$Q18)</f>
        <v/>
      </c>
      <c r="AA18" s="26">
        <f>IF(OR($B18="",$R18=""),"",$R18)</f>
        <v/>
      </c>
      <c r="AB18" s="27">
        <f>IF($B18="","",$M18)</f>
        <v/>
      </c>
      <c r="AC18" s="27" t="n"/>
      <c r="AD18" s="31" t="n"/>
      <c r="AE18" s="41">
        <f>COUNTIF($L18:$P18,1)+COUNTIF($Q18:$S18,1)+COUNTIF($U18:$X18,1)+COUNTIF($Z18:$AD18,1)</f>
        <v/>
      </c>
      <c r="AF18" s="42">
        <f>COUNT($L18:$P18,$Q18:$S18,$U18:$X18,$Z18:$AD18)</f>
        <v/>
      </c>
      <c r="AG18" s="43">
        <f>IF(AF18=0,0,AE18/AF18)</f>
        <v/>
      </c>
      <c r="AH18" s="42">
        <f>IF($B18="","",IF(AF18=0,"Not Started",IF(AE18=AF18,"Complete",IF(AE18=0,"Not Started","In Progress"))))</f>
        <v/>
      </c>
      <c r="AI18" s="45" t="n"/>
    </row>
    <row r="19">
      <c r="A19" s="8">
        <f>IF(B19="","",ROW()-3)</f>
        <v/>
      </c>
      <c r="B19" s="6" t="n"/>
      <c r="C19" s="9" t="n"/>
      <c r="D19" s="6" t="n"/>
      <c r="E19" s="6" t="n"/>
      <c r="F19" s="5" t="n"/>
      <c r="G19" s="6" t="n"/>
      <c r="H19" s="6" t="n"/>
      <c r="I19" s="53" t="n"/>
      <c r="J19" s="39" t="n"/>
      <c r="K19" s="12">
        <f>IF($B19="","",_xlfn.LET(_xlpm.v,$F19,_xlpm.n,IF(ISNUMBER(_xlpm.v),_xlpm.v,IF(LEFT(UPPER(TRIM(_xlpm.v)),2)="CW",IFERROR(VALUE(SUBSTITUTE(UPPER(TRIM(_xlpm.v)),"CW","")),""),"")),IF(AND(ISNUMBER(_xlpm.n),_xlpm.n&gt;=1,_xlpm.n&lt;=52),"CW"&amp;_xlpm.n,"")))</f>
        <v/>
      </c>
      <c r="L19" s="15" t="n"/>
      <c r="M19" s="15" t="n"/>
      <c r="N19" s="15" t="n"/>
      <c r="O19" s="15" t="n"/>
      <c r="P19" s="16" t="n"/>
      <c r="Q19" s="17" t="n"/>
      <c r="R19" s="17" t="n"/>
      <c r="S19" s="18" t="n"/>
      <c r="T19" s="19">
        <f>IF($B19="","",_xlfn.LET(_xlpm.v,$H19,_xlpm.n,IF(ISNUMBER(_xlpm.v),_xlpm.v,IF(LEFT(UPPER(TRIM(_xlpm.v)),2)="CW",IFERROR(VALUE(SUBSTITUTE(UPPER(TRIM(_xlpm.v)),"CW","")),""),"")),IF(AND(ISNUMBER(_xlpm.n),_xlpm.n&gt;=1,_xlpm.n&lt;=52),"CW"&amp;_xlpm.n,"")))</f>
        <v/>
      </c>
      <c r="U19" s="17" t="n"/>
      <c r="V19" s="20">
        <f>IF($B19="","",$M19)</f>
        <v/>
      </c>
      <c r="W19" s="20" t="n"/>
      <c r="X19" s="29" t="n"/>
      <c r="Y19" s="30">
        <f>IF(OR($B19="",$J19=""),"",$J19)</f>
        <v/>
      </c>
      <c r="Z19" s="26">
        <f>IF(OR($B19="",$Q19=""),"",$Q19)</f>
        <v/>
      </c>
      <c r="AA19" s="26">
        <f>IF(OR($B19="",$R19=""),"",$R19)</f>
        <v/>
      </c>
      <c r="AB19" s="27">
        <f>IF($B19="","",$M19)</f>
        <v/>
      </c>
      <c r="AC19" s="27" t="n"/>
      <c r="AD19" s="31" t="n"/>
      <c r="AE19" s="41">
        <f>COUNTIF($L19:$P19,1)+COUNTIF($Q19:$S19,1)+COUNTIF($U19:$X19,1)+COUNTIF($Z19:$AD19,1)</f>
        <v/>
      </c>
      <c r="AF19" s="42">
        <f>COUNT($L19:$P19,$Q19:$S19,$U19:$X19,$Z19:$AD19)</f>
        <v/>
      </c>
      <c r="AG19" s="43">
        <f>IF(AF19=0,0,AE19/AF19)</f>
        <v/>
      </c>
      <c r="AH19" s="42">
        <f>IF($B19="","",IF(AF19=0,"Not Started",IF(AE19=AF19,"Complete",IF(AE19=0,"Not Started","In Progress"))))</f>
        <v/>
      </c>
      <c r="AI19" s="45" t="n"/>
    </row>
    <row r="20">
      <c r="A20" s="8">
        <f>IF(B20="","",ROW()-3)</f>
        <v/>
      </c>
      <c r="B20" s="6" t="n"/>
      <c r="C20" s="9" t="n"/>
      <c r="D20" s="6" t="n"/>
      <c r="E20" s="6" t="n"/>
      <c r="F20" s="5" t="n"/>
      <c r="G20" s="6" t="n"/>
      <c r="H20" s="6" t="n"/>
      <c r="I20" s="53" t="n"/>
      <c r="J20" s="39" t="n"/>
      <c r="K20" s="12">
        <f>IF($B20="","",_xlfn.LET(_xlpm.v,$F20,_xlpm.n,IF(ISNUMBER(_xlpm.v),_xlpm.v,IF(LEFT(UPPER(TRIM(_xlpm.v)),2)="CW",IFERROR(VALUE(SUBSTITUTE(UPPER(TRIM(_xlpm.v)),"CW","")),""),"")),IF(AND(ISNUMBER(_xlpm.n),_xlpm.n&gt;=1,_xlpm.n&lt;=52),"CW"&amp;_xlpm.n,"")))</f>
        <v/>
      </c>
      <c r="L20" s="15" t="n"/>
      <c r="M20" s="15" t="n"/>
      <c r="N20" s="15" t="n"/>
      <c r="O20" s="15" t="n"/>
      <c r="P20" s="16" t="n"/>
      <c r="Q20" s="17" t="n"/>
      <c r="R20" s="17" t="n"/>
      <c r="S20" s="18" t="n"/>
      <c r="T20" s="19">
        <f>IF($B20="","",_xlfn.LET(_xlpm.v,$H20,_xlpm.n,IF(ISNUMBER(_xlpm.v),_xlpm.v,IF(LEFT(UPPER(TRIM(_xlpm.v)),2)="CW",IFERROR(VALUE(SUBSTITUTE(UPPER(TRIM(_xlpm.v)),"CW","")),""),"")),IF(AND(ISNUMBER(_xlpm.n),_xlpm.n&gt;=1,_xlpm.n&lt;=52),"CW"&amp;_xlpm.n,"")))</f>
        <v/>
      </c>
      <c r="U20" s="17" t="n"/>
      <c r="V20" s="20">
        <f>IF($B20="","",$M20)</f>
        <v/>
      </c>
      <c r="W20" s="20" t="n"/>
      <c r="X20" s="29" t="n"/>
      <c r="Y20" s="30">
        <f>IF(OR($B20="",$J20=""),"",$J20)</f>
        <v/>
      </c>
      <c r="Z20" s="26">
        <f>IF(OR($B20="",$Q20=""),"",$Q20)</f>
        <v/>
      </c>
      <c r="AA20" s="26">
        <f>IF(OR($B20="",$R20=""),"",$R20)</f>
        <v/>
      </c>
      <c r="AB20" s="27">
        <f>IF($B20="","",$M20)</f>
        <v/>
      </c>
      <c r="AC20" s="27" t="n"/>
      <c r="AD20" s="31" t="n"/>
      <c r="AE20" s="41">
        <f>COUNTIF($L20:$P20,1)+COUNTIF($Q20:$S20,1)+COUNTIF($U20:$X20,1)+COUNTIF($Z20:$AD20,1)</f>
        <v/>
      </c>
      <c r="AF20" s="42">
        <f>COUNT($L20:$P20,$Q20:$S20,$U20:$X20,$Z20:$AD20)</f>
        <v/>
      </c>
      <c r="AG20" s="43">
        <f>IF(AF20=0,0,AE20/AF20)</f>
        <v/>
      </c>
      <c r="AH20" s="42">
        <f>IF($B20="","",IF(AF20=0,"Not Started",IF(AE20=AF20,"Complete",IF(AE20=0,"Not Started","In Progress"))))</f>
        <v/>
      </c>
      <c r="AI20" s="45" t="n"/>
    </row>
    <row r="21">
      <c r="A21" s="8">
        <f>IF(B21="","",ROW()-3)</f>
        <v/>
      </c>
      <c r="B21" s="6" t="n"/>
      <c r="C21" s="9" t="n"/>
      <c r="D21" s="6" t="n"/>
      <c r="E21" s="6" t="n"/>
      <c r="F21" s="5" t="n"/>
      <c r="G21" s="6" t="n"/>
      <c r="H21" s="6" t="n"/>
      <c r="I21" s="53" t="n"/>
      <c r="J21" s="39" t="n"/>
      <c r="K21" s="12">
        <f>IF($B21="","",_xlfn.LET(_xlpm.v,$F21,_xlpm.n,IF(ISNUMBER(_xlpm.v),_xlpm.v,IF(LEFT(UPPER(TRIM(_xlpm.v)),2)="CW",IFERROR(VALUE(SUBSTITUTE(UPPER(TRIM(_xlpm.v)),"CW","")),""),"")),IF(AND(ISNUMBER(_xlpm.n),_xlpm.n&gt;=1,_xlpm.n&lt;=52),"CW"&amp;_xlpm.n,"")))</f>
        <v/>
      </c>
      <c r="L21" s="15" t="n"/>
      <c r="M21" s="15" t="n"/>
      <c r="N21" s="15" t="n"/>
      <c r="O21" s="15" t="n"/>
      <c r="P21" s="16" t="n"/>
      <c r="Q21" s="17" t="n"/>
      <c r="R21" s="17" t="n"/>
      <c r="S21" s="18" t="n"/>
      <c r="T21" s="19">
        <f>IF($B21="","",_xlfn.LET(_xlpm.v,$H21,_xlpm.n,IF(ISNUMBER(_xlpm.v),_xlpm.v,IF(LEFT(UPPER(TRIM(_xlpm.v)),2)="CW",IFERROR(VALUE(SUBSTITUTE(UPPER(TRIM(_xlpm.v)),"CW","")),""),"")),IF(AND(ISNUMBER(_xlpm.n),_xlpm.n&gt;=1,_xlpm.n&lt;=52),"CW"&amp;_xlpm.n,"")))</f>
        <v/>
      </c>
      <c r="U21" s="17" t="n"/>
      <c r="V21" s="20">
        <f>IF($B21="","",$M21)</f>
        <v/>
      </c>
      <c r="W21" s="20" t="n"/>
      <c r="X21" s="29" t="n"/>
      <c r="Y21" s="30">
        <f>IF(OR($B21="",$J21=""),"",$J21)</f>
        <v/>
      </c>
      <c r="Z21" s="26">
        <f>IF(OR($B21="",$Q21=""),"",$Q21)</f>
        <v/>
      </c>
      <c r="AA21" s="26">
        <f>IF(OR($B21="",$R21=""),"",$R21)</f>
        <v/>
      </c>
      <c r="AB21" s="27">
        <f>IF($B21="","",$M21)</f>
        <v/>
      </c>
      <c r="AC21" s="27" t="n"/>
      <c r="AD21" s="31" t="n"/>
      <c r="AE21" s="41">
        <f>COUNTIF($L21:$P21,1)+COUNTIF($Q21:$S21,1)+COUNTIF($U21:$X21,1)+COUNTIF($Z21:$AD21,1)</f>
        <v/>
      </c>
      <c r="AF21" s="42">
        <f>COUNT($L21:$P21,$Q21:$S21,$U21:$X21,$Z21:$AD21)</f>
        <v/>
      </c>
      <c r="AG21" s="43">
        <f>IF(AF21=0,0,AE21/AF21)</f>
        <v/>
      </c>
      <c r="AH21" s="42">
        <f>IF($B21="","",IF(AF21=0,"Not Started",IF(AE21=AF21,"Complete",IF(AE21=0,"Not Started","In Progress"))))</f>
        <v/>
      </c>
      <c r="AI21" s="45" t="n"/>
    </row>
    <row r="22">
      <c r="A22" s="8">
        <f>IF(B22="","",ROW()-3)</f>
        <v/>
      </c>
      <c r="B22" s="6" t="n"/>
      <c r="C22" s="9" t="n"/>
      <c r="D22" s="6" t="n"/>
      <c r="E22" s="6" t="n"/>
      <c r="F22" s="5" t="n"/>
      <c r="G22" s="6" t="n"/>
      <c r="H22" s="6" t="n"/>
      <c r="I22" s="53" t="n"/>
      <c r="J22" s="39" t="n"/>
      <c r="K22" s="12">
        <f>IF($B22="","",_xlfn.LET(_xlpm.v,$F22,_xlpm.n,IF(ISNUMBER(_xlpm.v),_xlpm.v,IF(LEFT(UPPER(TRIM(_xlpm.v)),2)="CW",IFERROR(VALUE(SUBSTITUTE(UPPER(TRIM(_xlpm.v)),"CW","")),""),"")),IF(AND(ISNUMBER(_xlpm.n),_xlpm.n&gt;=1,_xlpm.n&lt;=52),"CW"&amp;_xlpm.n,"")))</f>
        <v/>
      </c>
      <c r="L22" s="15" t="n"/>
      <c r="M22" s="15" t="n"/>
      <c r="N22" s="15" t="n"/>
      <c r="O22" s="15" t="n"/>
      <c r="P22" s="16" t="n"/>
      <c r="Q22" s="17" t="n"/>
      <c r="R22" s="17" t="n"/>
      <c r="S22" s="18" t="n"/>
      <c r="T22" s="19">
        <f>IF($B22="","",_xlfn.LET(_xlpm.v,$H22,_xlpm.n,IF(ISNUMBER(_xlpm.v),_xlpm.v,IF(LEFT(UPPER(TRIM(_xlpm.v)),2)="CW",IFERROR(VALUE(SUBSTITUTE(UPPER(TRIM(_xlpm.v)),"CW","")),""),"")),IF(AND(ISNUMBER(_xlpm.n),_xlpm.n&gt;=1,_xlpm.n&lt;=52),"CW"&amp;_xlpm.n,"")))</f>
        <v/>
      </c>
      <c r="U22" s="17" t="n"/>
      <c r="V22" s="20">
        <f>IF($B22="","",$M22)</f>
        <v/>
      </c>
      <c r="W22" s="20" t="n"/>
      <c r="X22" s="29" t="n"/>
      <c r="Y22" s="30">
        <f>IF(OR($B22="",$J22=""),"",$J22)</f>
        <v/>
      </c>
      <c r="Z22" s="26">
        <f>IF(OR($B22="",$Q22=""),"",$Q22)</f>
        <v/>
      </c>
      <c r="AA22" s="26">
        <f>IF(OR($B22="",$R22=""),"",$R22)</f>
        <v/>
      </c>
      <c r="AB22" s="27">
        <f>IF($B22="","",$M22)</f>
        <v/>
      </c>
      <c r="AC22" s="27" t="n"/>
      <c r="AD22" s="31" t="n"/>
      <c r="AE22" s="41">
        <f>COUNTIF($L22:$P22,1)+COUNTIF($Q22:$S22,1)+COUNTIF($U22:$X22,1)+COUNTIF($Z22:$AD22,1)</f>
        <v/>
      </c>
      <c r="AF22" s="42">
        <f>COUNT($L22:$P22,$Q22:$S22,$U22:$X22,$Z22:$AD22)</f>
        <v/>
      </c>
      <c r="AG22" s="43">
        <f>IF(AF22=0,0,AE22/AF22)</f>
        <v/>
      </c>
      <c r="AH22" s="42">
        <f>IF($B22="","",IF(AF22=0,"Not Started",IF(AE22=AF22,"Complete",IF(AE22=0,"Not Started","In Progress"))))</f>
        <v/>
      </c>
      <c r="AI22" s="45" t="n"/>
    </row>
    <row r="23">
      <c r="A23" s="8">
        <f>IF(B23="","",ROW()-3)</f>
        <v/>
      </c>
      <c r="B23" s="6" t="n"/>
      <c r="C23" s="9" t="n"/>
      <c r="D23" s="6" t="n"/>
      <c r="E23" s="6" t="n"/>
      <c r="F23" s="5" t="n"/>
      <c r="G23" s="6" t="n"/>
      <c r="H23" s="6" t="n"/>
      <c r="I23" s="53" t="n"/>
      <c r="J23" s="39" t="n"/>
      <c r="K23" s="12">
        <f>IF($B23="","",_xlfn.LET(_xlpm.v,$F23,_xlpm.n,IF(ISNUMBER(_xlpm.v),_xlpm.v,IF(LEFT(UPPER(TRIM(_xlpm.v)),2)="CW",IFERROR(VALUE(SUBSTITUTE(UPPER(TRIM(_xlpm.v)),"CW","")),""),"")),IF(AND(ISNUMBER(_xlpm.n),_xlpm.n&gt;=1,_xlpm.n&lt;=52),"CW"&amp;_xlpm.n,"")))</f>
        <v/>
      </c>
      <c r="L23" s="15" t="n"/>
      <c r="M23" s="15" t="n"/>
      <c r="N23" s="15" t="n"/>
      <c r="O23" s="15" t="n"/>
      <c r="P23" s="16" t="n"/>
      <c r="Q23" s="17" t="n"/>
      <c r="R23" s="17" t="n"/>
      <c r="S23" s="18" t="n"/>
      <c r="T23" s="19">
        <f>IF($B23="","",_xlfn.LET(_xlpm.v,$H23,_xlpm.n,IF(ISNUMBER(_xlpm.v),_xlpm.v,IF(LEFT(UPPER(TRIM(_xlpm.v)),2)="CW",IFERROR(VALUE(SUBSTITUTE(UPPER(TRIM(_xlpm.v)),"CW","")),""),"")),IF(AND(ISNUMBER(_xlpm.n),_xlpm.n&gt;=1,_xlpm.n&lt;=52),"CW"&amp;_xlpm.n,"")))</f>
        <v/>
      </c>
      <c r="U23" s="17" t="n"/>
      <c r="V23" s="20">
        <f>IF($B23="","",$M23)</f>
        <v/>
      </c>
      <c r="W23" s="20" t="n"/>
      <c r="X23" s="29" t="n"/>
      <c r="Y23" s="30">
        <f>IF(OR($B23="",$J23=""),"",$J23)</f>
        <v/>
      </c>
      <c r="Z23" s="26">
        <f>IF(OR($B23="",$Q23=""),"",$Q23)</f>
        <v/>
      </c>
      <c r="AA23" s="26">
        <f>IF(OR($B23="",$R23=""),"",$R23)</f>
        <v/>
      </c>
      <c r="AB23" s="27">
        <f>IF($B23="","",$M23)</f>
        <v/>
      </c>
      <c r="AC23" s="27" t="n"/>
      <c r="AD23" s="31" t="n"/>
      <c r="AE23" s="41">
        <f>COUNTIF($L23:$P23,1)+COUNTIF($Q23:$S23,1)+COUNTIF($U23:$X23,1)+COUNTIF($Z23:$AD23,1)</f>
        <v/>
      </c>
      <c r="AF23" s="42">
        <f>COUNT($L23:$P23,$Q23:$S23,$U23:$X23,$Z23:$AD23)</f>
        <v/>
      </c>
      <c r="AG23" s="43">
        <f>IF(AF23=0,0,AE23/AF23)</f>
        <v/>
      </c>
      <c r="AH23" s="42">
        <f>IF($B23="","",IF(AF23=0,"Not Started",IF(AE23=AF23,"Complete",IF(AE23=0,"Not Started","In Progress"))))</f>
        <v/>
      </c>
      <c r="AI23" s="45" t="n"/>
    </row>
    <row r="24">
      <c r="A24" s="8">
        <f>IF(B24="","",ROW()-3)</f>
        <v/>
      </c>
      <c r="B24" s="6" t="n"/>
      <c r="C24" s="9" t="n"/>
      <c r="D24" s="6" t="n"/>
      <c r="E24" s="6" t="n"/>
      <c r="F24" s="5" t="n"/>
      <c r="G24" s="6" t="n"/>
      <c r="H24" s="6" t="n"/>
      <c r="I24" s="53" t="n"/>
      <c r="J24" s="39" t="n"/>
      <c r="K24" s="12">
        <f>IF($B24="","",_xlfn.LET(_xlpm.v,$F24,_xlpm.n,IF(ISNUMBER(_xlpm.v),_xlpm.v,IF(LEFT(UPPER(TRIM(_xlpm.v)),2)="CW",IFERROR(VALUE(SUBSTITUTE(UPPER(TRIM(_xlpm.v)),"CW","")),""),"")),IF(AND(ISNUMBER(_xlpm.n),_xlpm.n&gt;=1,_xlpm.n&lt;=52),"CW"&amp;_xlpm.n,"")))</f>
        <v/>
      </c>
      <c r="L24" s="15" t="n"/>
      <c r="M24" s="15" t="n"/>
      <c r="N24" s="15" t="n"/>
      <c r="O24" s="15" t="n"/>
      <c r="P24" s="16" t="n"/>
      <c r="Q24" s="17" t="n"/>
      <c r="R24" s="17" t="n"/>
      <c r="S24" s="18" t="n"/>
      <c r="T24" s="19">
        <f>IF($B24="","",_xlfn.LET(_xlpm.v,$H24,_xlpm.n,IF(ISNUMBER(_xlpm.v),_xlpm.v,IF(LEFT(UPPER(TRIM(_xlpm.v)),2)="CW",IFERROR(VALUE(SUBSTITUTE(UPPER(TRIM(_xlpm.v)),"CW","")),""),"")),IF(AND(ISNUMBER(_xlpm.n),_xlpm.n&gt;=1,_xlpm.n&lt;=52),"CW"&amp;_xlpm.n,"")))</f>
        <v/>
      </c>
      <c r="U24" s="17" t="n"/>
      <c r="V24" s="20">
        <f>IF($B24="","",$M24)</f>
        <v/>
      </c>
      <c r="W24" s="20" t="n"/>
      <c r="X24" s="29" t="n"/>
      <c r="Y24" s="30">
        <f>IF(OR($B24="",$J24=""),"",$J24)</f>
        <v/>
      </c>
      <c r="Z24" s="26">
        <f>IF(OR($B24="",$Q24=""),"",$Q24)</f>
        <v/>
      </c>
      <c r="AA24" s="26">
        <f>IF(OR($B24="",$R24=""),"",$R24)</f>
        <v/>
      </c>
      <c r="AB24" s="27">
        <f>IF($B24="","",$M24)</f>
        <v/>
      </c>
      <c r="AC24" s="27" t="n"/>
      <c r="AD24" s="31" t="n"/>
      <c r="AE24" s="41">
        <f>COUNTIF($L24:$P24,1)+COUNTIF($Q24:$S24,1)+COUNTIF($U24:$X24,1)+COUNTIF($Z24:$AD24,1)</f>
        <v/>
      </c>
      <c r="AF24" s="42">
        <f>COUNT($L24:$P24,$Q24:$S24,$U24:$X24,$Z24:$AD24)</f>
        <v/>
      </c>
      <c r="AG24" s="43">
        <f>IF(AF24=0,0,AE24/AF24)</f>
        <v/>
      </c>
      <c r="AH24" s="42">
        <f>IF($B24="","",IF(AF24=0,"Not Started",IF(AE24=AF24,"Complete",IF(AE24=0,"Not Started","In Progress"))))</f>
        <v/>
      </c>
      <c r="AI24" s="45" t="n"/>
    </row>
    <row r="25">
      <c r="A25" s="8">
        <f>IF(B25="","",ROW()-3)</f>
        <v/>
      </c>
      <c r="B25" s="6" t="n"/>
      <c r="C25" s="9" t="n"/>
      <c r="D25" s="6" t="n"/>
      <c r="E25" s="6" t="n"/>
      <c r="F25" s="5" t="n"/>
      <c r="G25" s="6" t="n"/>
      <c r="H25" s="6" t="n"/>
      <c r="I25" s="53" t="n"/>
      <c r="J25" s="39" t="n"/>
      <c r="K25" s="12">
        <f>IF($B25="","",_xlfn.LET(_xlpm.v,$F25,_xlpm.n,IF(ISNUMBER(_xlpm.v),_xlpm.v,IF(LEFT(UPPER(TRIM(_xlpm.v)),2)="CW",IFERROR(VALUE(SUBSTITUTE(UPPER(TRIM(_xlpm.v)),"CW","")),""),"")),IF(AND(ISNUMBER(_xlpm.n),_xlpm.n&gt;=1,_xlpm.n&lt;=52),"CW"&amp;_xlpm.n,"")))</f>
        <v/>
      </c>
      <c r="L25" s="15" t="n"/>
      <c r="M25" s="15" t="n"/>
      <c r="N25" s="15" t="n"/>
      <c r="O25" s="15" t="n"/>
      <c r="P25" s="16" t="n"/>
      <c r="Q25" s="17" t="n"/>
      <c r="R25" s="17" t="n"/>
      <c r="S25" s="18" t="n"/>
      <c r="T25" s="19">
        <f>IF($B25="","",_xlfn.LET(_xlpm.v,$H25,_xlpm.n,IF(ISNUMBER(_xlpm.v),_xlpm.v,IF(LEFT(UPPER(TRIM(_xlpm.v)),2)="CW",IFERROR(VALUE(SUBSTITUTE(UPPER(TRIM(_xlpm.v)),"CW","")),""),"")),IF(AND(ISNUMBER(_xlpm.n),_xlpm.n&gt;=1,_xlpm.n&lt;=52),"CW"&amp;_xlpm.n,"")))</f>
        <v/>
      </c>
      <c r="U25" s="17" t="n"/>
      <c r="V25" s="20">
        <f>IF($B25="","",$M25)</f>
        <v/>
      </c>
      <c r="W25" s="20" t="n"/>
      <c r="X25" s="29" t="n"/>
      <c r="Y25" s="30">
        <f>IF(OR($B25="",$J25=""),"",$J25)</f>
        <v/>
      </c>
      <c r="Z25" s="26">
        <f>IF(OR($B25="",$Q25=""),"",$Q25)</f>
        <v/>
      </c>
      <c r="AA25" s="26">
        <f>IF(OR($B25="",$R25=""),"",$R25)</f>
        <v/>
      </c>
      <c r="AB25" s="27">
        <f>IF($B25="","",$M25)</f>
        <v/>
      </c>
      <c r="AC25" s="27" t="n"/>
      <c r="AD25" s="31" t="n"/>
      <c r="AE25" s="41">
        <f>COUNTIF($L25:$P25,1)+COUNTIF($Q25:$S25,1)+COUNTIF($U25:$X25,1)+COUNTIF($Z25:$AD25,1)</f>
        <v/>
      </c>
      <c r="AF25" s="42">
        <f>COUNT($L25:$P25,$Q25:$S25,$U25:$X25,$Z25:$AD25)</f>
        <v/>
      </c>
      <c r="AG25" s="43">
        <f>IF(AF25=0,0,AE25/AF25)</f>
        <v/>
      </c>
      <c r="AH25" s="42">
        <f>IF($B25="","",IF(AF25=0,"Not Started",IF(AE25=AF25,"Complete",IF(AE25=0,"Not Started","In Progress"))))</f>
        <v/>
      </c>
      <c r="AI25" s="45" t="n"/>
    </row>
    <row r="26">
      <c r="A26" s="8">
        <f>IF(B26="","",ROW()-3)</f>
        <v/>
      </c>
      <c r="B26" s="6" t="n"/>
      <c r="C26" s="9" t="n"/>
      <c r="D26" s="6" t="n"/>
      <c r="E26" s="6" t="n"/>
      <c r="F26" s="5" t="n"/>
      <c r="G26" s="6" t="n"/>
      <c r="H26" s="6" t="n"/>
      <c r="I26" s="53" t="n"/>
      <c r="J26" s="39" t="n"/>
      <c r="K26" s="12">
        <f>IF($B26="","",_xlfn.LET(_xlpm.v,$F26,_xlpm.n,IF(ISNUMBER(_xlpm.v),_xlpm.v,IF(LEFT(UPPER(TRIM(_xlpm.v)),2)="CW",IFERROR(VALUE(SUBSTITUTE(UPPER(TRIM(_xlpm.v)),"CW","")),""),"")),IF(AND(ISNUMBER(_xlpm.n),_xlpm.n&gt;=1,_xlpm.n&lt;=52),"CW"&amp;_xlpm.n,"")))</f>
        <v/>
      </c>
      <c r="L26" s="15" t="n"/>
      <c r="M26" s="15" t="n"/>
      <c r="N26" s="15" t="n"/>
      <c r="O26" s="15" t="n"/>
      <c r="P26" s="16" t="n"/>
      <c r="Q26" s="17" t="n"/>
      <c r="R26" s="17" t="n"/>
      <c r="S26" s="18" t="n"/>
      <c r="T26" s="19">
        <f>IF($B26="","",_xlfn.LET(_xlpm.v,$H26,_xlpm.n,IF(ISNUMBER(_xlpm.v),_xlpm.v,IF(LEFT(UPPER(TRIM(_xlpm.v)),2)="CW",IFERROR(VALUE(SUBSTITUTE(UPPER(TRIM(_xlpm.v)),"CW","")),""),"")),IF(AND(ISNUMBER(_xlpm.n),_xlpm.n&gt;=1,_xlpm.n&lt;=52),"CW"&amp;_xlpm.n,"")))</f>
        <v/>
      </c>
      <c r="U26" s="17" t="n"/>
      <c r="V26" s="20">
        <f>IF($B26="","",$M26)</f>
        <v/>
      </c>
      <c r="W26" s="20" t="n"/>
      <c r="X26" s="29" t="n"/>
      <c r="Y26" s="30">
        <f>IF(OR($B26="",$J26=""),"",$J26)</f>
        <v/>
      </c>
      <c r="Z26" s="26">
        <f>IF(OR($B26="",$Q26=""),"",$Q26)</f>
        <v/>
      </c>
      <c r="AA26" s="26">
        <f>IF(OR($B26="",$R26=""),"",$R26)</f>
        <v/>
      </c>
      <c r="AB26" s="27">
        <f>IF($B26="","",$M26)</f>
        <v/>
      </c>
      <c r="AC26" s="27" t="n"/>
      <c r="AD26" s="31" t="n"/>
      <c r="AE26" s="41">
        <f>COUNTIF($L26:$P26,1)+COUNTIF($Q26:$S26,1)+COUNTIF($U26:$X26,1)+COUNTIF($Z26:$AD26,1)</f>
        <v/>
      </c>
      <c r="AF26" s="42">
        <f>COUNT($L26:$P26,$Q26:$S26,$U26:$X26,$Z26:$AD26)</f>
        <v/>
      </c>
      <c r="AG26" s="43">
        <f>IF(AF26=0,0,AE26/AF26)</f>
        <v/>
      </c>
      <c r="AH26" s="42">
        <f>IF($B26="","",IF(AF26=0,"Not Started",IF(AE26=AF26,"Complete",IF(AE26=0,"Not Started","In Progress"))))</f>
        <v/>
      </c>
      <c r="AI26" s="45" t="n"/>
    </row>
    <row r="27">
      <c r="A27" s="8">
        <f>IF(B27="","",ROW()-3)</f>
        <v/>
      </c>
      <c r="B27" s="6" t="n"/>
      <c r="C27" s="9" t="n"/>
      <c r="D27" s="6" t="n"/>
      <c r="E27" s="6" t="n"/>
      <c r="F27" s="5" t="n"/>
      <c r="G27" s="6" t="n"/>
      <c r="H27" s="6" t="n"/>
      <c r="I27" s="53" t="n"/>
      <c r="J27" s="39" t="n"/>
      <c r="K27" s="12">
        <f>IF($B27="","",_xlfn.LET(_xlpm.v,$F27,_xlpm.n,IF(ISNUMBER(_xlpm.v),_xlpm.v,IF(LEFT(UPPER(TRIM(_xlpm.v)),2)="CW",IFERROR(VALUE(SUBSTITUTE(UPPER(TRIM(_xlpm.v)),"CW","")),""),"")),IF(AND(ISNUMBER(_xlpm.n),_xlpm.n&gt;=1,_xlpm.n&lt;=52),"CW"&amp;_xlpm.n,"")))</f>
        <v/>
      </c>
      <c r="L27" s="15" t="n"/>
      <c r="M27" s="15" t="n"/>
      <c r="N27" s="15" t="n"/>
      <c r="O27" s="15" t="n"/>
      <c r="P27" s="16" t="n"/>
      <c r="Q27" s="17" t="n"/>
      <c r="R27" s="17" t="n"/>
      <c r="S27" s="18" t="n"/>
      <c r="T27" s="19">
        <f>IF($B27="","",_xlfn.LET(_xlpm.v,$H27,_xlpm.n,IF(ISNUMBER(_xlpm.v),_xlpm.v,IF(LEFT(UPPER(TRIM(_xlpm.v)),2)="CW",IFERROR(VALUE(SUBSTITUTE(UPPER(TRIM(_xlpm.v)),"CW","")),""),"")),IF(AND(ISNUMBER(_xlpm.n),_xlpm.n&gt;=1,_xlpm.n&lt;=52),"CW"&amp;_xlpm.n,"")))</f>
        <v/>
      </c>
      <c r="U27" s="17" t="n"/>
      <c r="V27" s="20">
        <f>IF($B27="","",$M27)</f>
        <v/>
      </c>
      <c r="W27" s="20" t="n"/>
      <c r="X27" s="29" t="n"/>
      <c r="Y27" s="30">
        <f>IF(OR($B27="",$J27=""),"",$J27)</f>
        <v/>
      </c>
      <c r="Z27" s="26">
        <f>IF(OR($B27="",$Q27=""),"",$Q27)</f>
        <v/>
      </c>
      <c r="AA27" s="26">
        <f>IF(OR($B27="",$R27=""),"",$R27)</f>
        <v/>
      </c>
      <c r="AB27" s="27">
        <f>IF($B27="","",$M27)</f>
        <v/>
      </c>
      <c r="AC27" s="27" t="n"/>
      <c r="AD27" s="31" t="n"/>
      <c r="AE27" s="41">
        <f>COUNTIF($L27:$P27,1)+COUNTIF($Q27:$S27,1)+COUNTIF($U27:$X27,1)+COUNTIF($Z27:$AD27,1)</f>
        <v/>
      </c>
      <c r="AF27" s="42">
        <f>COUNT($L27:$P27,$Q27:$S27,$U27:$X27,$Z27:$AD27)</f>
        <v/>
      </c>
      <c r="AG27" s="43">
        <f>IF(AF27=0,0,AE27/AF27)</f>
        <v/>
      </c>
      <c r="AH27" s="42">
        <f>IF($B27="","",IF(AF27=0,"Not Started",IF(AE27=AF27,"Complete",IF(AE27=0,"Not Started","In Progress"))))</f>
        <v/>
      </c>
      <c r="AI27" s="45" t="n"/>
    </row>
    <row r="28">
      <c r="A28" s="8">
        <f>IF(B28="","",ROW()-3)</f>
        <v/>
      </c>
      <c r="B28" s="6" t="n"/>
      <c r="C28" s="9" t="n"/>
      <c r="D28" s="6" t="n"/>
      <c r="E28" s="6" t="n"/>
      <c r="F28" s="5" t="n"/>
      <c r="G28" s="6" t="n"/>
      <c r="H28" s="6" t="n"/>
      <c r="I28" s="53" t="n"/>
      <c r="J28" s="39" t="n"/>
      <c r="K28" s="12">
        <f>IF($B28="","",_xlfn.LET(_xlpm.v,$F28,_xlpm.n,IF(ISNUMBER(_xlpm.v),_xlpm.v,IF(LEFT(UPPER(TRIM(_xlpm.v)),2)="CW",IFERROR(VALUE(SUBSTITUTE(UPPER(TRIM(_xlpm.v)),"CW","")),""),"")),IF(AND(ISNUMBER(_xlpm.n),_xlpm.n&gt;=1,_xlpm.n&lt;=52),"CW"&amp;_xlpm.n,"")))</f>
        <v/>
      </c>
      <c r="L28" s="15" t="n"/>
      <c r="M28" s="15" t="n"/>
      <c r="N28" s="15" t="n"/>
      <c r="O28" s="15" t="n"/>
      <c r="P28" s="16" t="n"/>
      <c r="Q28" s="17" t="n"/>
      <c r="R28" s="17" t="n"/>
      <c r="S28" s="18" t="n"/>
      <c r="T28" s="19">
        <f>IF($B28="","",_xlfn.LET(_xlpm.v,$H28,_xlpm.n,IF(ISNUMBER(_xlpm.v),_xlpm.v,IF(LEFT(UPPER(TRIM(_xlpm.v)),2)="CW",IFERROR(VALUE(SUBSTITUTE(UPPER(TRIM(_xlpm.v)),"CW","")),""),"")),IF(AND(ISNUMBER(_xlpm.n),_xlpm.n&gt;=1,_xlpm.n&lt;=52),"CW"&amp;_xlpm.n,"")))</f>
        <v/>
      </c>
      <c r="U28" s="17" t="n"/>
      <c r="V28" s="20">
        <f>IF($B28="","",$M28)</f>
        <v/>
      </c>
      <c r="W28" s="20" t="n"/>
      <c r="X28" s="29" t="n"/>
      <c r="Y28" s="30">
        <f>IF(OR($B28="",$J28=""),"",$J28)</f>
        <v/>
      </c>
      <c r="Z28" s="26">
        <f>IF(OR($B28="",$Q28=""),"",$Q28)</f>
        <v/>
      </c>
      <c r="AA28" s="26">
        <f>IF(OR($B28="",$R28=""),"",$R28)</f>
        <v/>
      </c>
      <c r="AB28" s="27">
        <f>IF($B28="","",$M28)</f>
        <v/>
      </c>
      <c r="AC28" s="27" t="n"/>
      <c r="AD28" s="31" t="n"/>
      <c r="AE28" s="41">
        <f>COUNTIF($L28:$P28,1)+COUNTIF($Q28:$S28,1)+COUNTIF($U28:$X28,1)+COUNTIF($Z28:$AD28,1)</f>
        <v/>
      </c>
      <c r="AF28" s="42">
        <f>COUNT($L28:$P28,$Q28:$S28,$U28:$X28,$Z28:$AD28)</f>
        <v/>
      </c>
      <c r="AG28" s="43">
        <f>IF(AF28=0,0,AE28/AF28)</f>
        <v/>
      </c>
      <c r="AH28" s="42">
        <f>IF($B28="","",IF(AF28=0,"Not Started",IF(AE28=AF28,"Complete",IF(AE28=0,"Not Started","In Progress"))))</f>
        <v/>
      </c>
      <c r="AI28" s="45" t="n"/>
    </row>
    <row r="29">
      <c r="A29" s="8">
        <f>IF(B29="","",ROW()-3)</f>
        <v/>
      </c>
      <c r="B29" s="6" t="n"/>
      <c r="C29" s="9" t="n"/>
      <c r="D29" s="6" t="n"/>
      <c r="E29" s="6" t="n"/>
      <c r="F29" s="5" t="n"/>
      <c r="G29" s="6" t="n"/>
      <c r="H29" s="6" t="n"/>
      <c r="I29" s="53" t="n"/>
      <c r="J29" s="39" t="n"/>
      <c r="K29" s="12">
        <f>IF($B29="","",_xlfn.LET(_xlpm.v,$F29,_xlpm.n,IF(ISNUMBER(_xlpm.v),_xlpm.v,IF(LEFT(UPPER(TRIM(_xlpm.v)),2)="CW",IFERROR(VALUE(SUBSTITUTE(UPPER(TRIM(_xlpm.v)),"CW","")),""),"")),IF(AND(ISNUMBER(_xlpm.n),_xlpm.n&gt;=1,_xlpm.n&lt;=52),"CW"&amp;_xlpm.n,"")))</f>
        <v/>
      </c>
      <c r="L29" s="15" t="n"/>
      <c r="M29" s="15" t="n"/>
      <c r="N29" s="15" t="n"/>
      <c r="O29" s="15" t="n"/>
      <c r="P29" s="16" t="n"/>
      <c r="Q29" s="17" t="n"/>
      <c r="R29" s="17" t="n"/>
      <c r="S29" s="18" t="n"/>
      <c r="T29" s="19">
        <f>IF($B29="","",_xlfn.LET(_xlpm.v,$H29,_xlpm.n,IF(ISNUMBER(_xlpm.v),_xlpm.v,IF(LEFT(UPPER(TRIM(_xlpm.v)),2)="CW",IFERROR(VALUE(SUBSTITUTE(UPPER(TRIM(_xlpm.v)),"CW","")),""),"")),IF(AND(ISNUMBER(_xlpm.n),_xlpm.n&gt;=1,_xlpm.n&lt;=52),"CW"&amp;_xlpm.n,"")))</f>
        <v/>
      </c>
      <c r="U29" s="17" t="n"/>
      <c r="V29" s="20">
        <f>IF($B29="","",$M29)</f>
        <v/>
      </c>
      <c r="W29" s="20" t="n"/>
      <c r="X29" s="29" t="n"/>
      <c r="Y29" s="30">
        <f>IF(OR($B29="",$J29=""),"",$J29)</f>
        <v/>
      </c>
      <c r="Z29" s="26">
        <f>IF(OR($B29="",$Q29=""),"",$Q29)</f>
        <v/>
      </c>
      <c r="AA29" s="26">
        <f>IF(OR($B29="",$R29=""),"",$R29)</f>
        <v/>
      </c>
      <c r="AB29" s="27">
        <f>IF($B29="","",$M29)</f>
        <v/>
      </c>
      <c r="AC29" s="27" t="n"/>
      <c r="AD29" s="31" t="n"/>
      <c r="AE29" s="41">
        <f>COUNTIF($L29:$P29,1)+COUNTIF($Q29:$S29,1)+COUNTIF($U29:$X29,1)+COUNTIF($Z29:$AD29,1)</f>
        <v/>
      </c>
      <c r="AF29" s="42">
        <f>COUNT($L29:$P29,$Q29:$S29,$U29:$X29,$Z29:$AD29)</f>
        <v/>
      </c>
      <c r="AG29" s="43">
        <f>IF(AF29=0,0,AE29/AF29)</f>
        <v/>
      </c>
      <c r="AH29" s="42">
        <f>IF($B29="","",IF(AF29=0,"Not Started",IF(AE29=AF29,"Complete",IF(AE29=0,"Not Started","In Progress"))))</f>
        <v/>
      </c>
      <c r="AI29" s="45" t="n"/>
    </row>
    <row r="30">
      <c r="A30" s="8">
        <f>IF(B30="","",ROW()-3)</f>
        <v/>
      </c>
      <c r="B30" s="6" t="n"/>
      <c r="C30" s="9" t="n"/>
      <c r="D30" s="6" t="n"/>
      <c r="E30" s="6" t="n"/>
      <c r="F30" s="5" t="n"/>
      <c r="G30" s="6" t="n"/>
      <c r="H30" s="6" t="n"/>
      <c r="I30" s="53" t="n"/>
      <c r="J30" s="39" t="n"/>
      <c r="K30" s="12">
        <f>IF($B30="","",_xlfn.LET(_xlpm.v,$F30,_xlpm.n,IF(ISNUMBER(_xlpm.v),_xlpm.v,IF(LEFT(UPPER(TRIM(_xlpm.v)),2)="CW",IFERROR(VALUE(SUBSTITUTE(UPPER(TRIM(_xlpm.v)),"CW","")),""),"")),IF(AND(ISNUMBER(_xlpm.n),_xlpm.n&gt;=1,_xlpm.n&lt;=52),"CW"&amp;_xlpm.n,"")))</f>
        <v/>
      </c>
      <c r="L30" s="15" t="n"/>
      <c r="M30" s="15" t="n"/>
      <c r="N30" s="15" t="n"/>
      <c r="O30" s="15" t="n"/>
      <c r="P30" s="16" t="n"/>
      <c r="Q30" s="17" t="n"/>
      <c r="R30" s="17" t="n"/>
      <c r="S30" s="18" t="n"/>
      <c r="T30" s="19">
        <f>IF($B30="","",_xlfn.LET(_xlpm.v,$H30,_xlpm.n,IF(ISNUMBER(_xlpm.v),_xlpm.v,IF(LEFT(UPPER(TRIM(_xlpm.v)),2)="CW",IFERROR(VALUE(SUBSTITUTE(UPPER(TRIM(_xlpm.v)),"CW","")),""),"")),IF(AND(ISNUMBER(_xlpm.n),_xlpm.n&gt;=1,_xlpm.n&lt;=52),"CW"&amp;_xlpm.n,"")))</f>
        <v/>
      </c>
      <c r="U30" s="17" t="n"/>
      <c r="V30" s="20">
        <f>IF($B30="","",$M30)</f>
        <v/>
      </c>
      <c r="W30" s="20" t="n"/>
      <c r="X30" s="29" t="n"/>
      <c r="Y30" s="30">
        <f>IF(OR($B30="",$J30=""),"",$J30)</f>
        <v/>
      </c>
      <c r="Z30" s="26">
        <f>IF(OR($B30="",$Q30=""),"",$Q30)</f>
        <v/>
      </c>
      <c r="AA30" s="26">
        <f>IF(OR($B30="",$R30=""),"",$R30)</f>
        <v/>
      </c>
      <c r="AB30" s="27">
        <f>IF($B30="","",$M30)</f>
        <v/>
      </c>
      <c r="AC30" s="27" t="n"/>
      <c r="AD30" s="31" t="n"/>
      <c r="AE30" s="41">
        <f>COUNTIF($L30:$P30,1)+COUNTIF($Q30:$S30,1)+COUNTIF($U30:$X30,1)+COUNTIF($Z30:$AD30,1)</f>
        <v/>
      </c>
      <c r="AF30" s="42">
        <f>COUNT($L30:$P30,$Q30:$S30,$U30:$X30,$Z30:$AD30)</f>
        <v/>
      </c>
      <c r="AG30" s="43">
        <f>IF(AF30=0,0,AE30/AF30)</f>
        <v/>
      </c>
      <c r="AH30" s="42">
        <f>IF($B30="","",IF(AF30=0,"Not Started",IF(AE30=AF30,"Complete",IF(AE30=0,"Not Started","In Progress"))))</f>
        <v/>
      </c>
      <c r="AI30" s="45" t="n"/>
    </row>
    <row r="31">
      <c r="A31" s="8">
        <f>IF(B31="","",ROW()-3)</f>
        <v/>
      </c>
      <c r="B31" s="6" t="n"/>
      <c r="C31" s="9" t="n"/>
      <c r="D31" s="6" t="n"/>
      <c r="E31" s="6" t="n"/>
      <c r="F31" s="5" t="n"/>
      <c r="G31" s="6" t="n"/>
      <c r="H31" s="6" t="n"/>
      <c r="I31" s="53" t="n"/>
      <c r="J31" s="39" t="n"/>
      <c r="K31" s="12">
        <f>IF($B31="","",_xlfn.LET(_xlpm.v,$F31,_xlpm.n,IF(ISNUMBER(_xlpm.v),_xlpm.v,IF(LEFT(UPPER(TRIM(_xlpm.v)),2)="CW",IFERROR(VALUE(SUBSTITUTE(UPPER(TRIM(_xlpm.v)),"CW","")),""),"")),IF(AND(ISNUMBER(_xlpm.n),_xlpm.n&gt;=1,_xlpm.n&lt;=52),"CW"&amp;_xlpm.n,"")))</f>
        <v/>
      </c>
      <c r="L31" s="15" t="n"/>
      <c r="M31" s="15" t="n"/>
      <c r="N31" s="15" t="n"/>
      <c r="O31" s="15" t="n"/>
      <c r="P31" s="16" t="n"/>
      <c r="Q31" s="17" t="n"/>
      <c r="R31" s="17" t="n"/>
      <c r="S31" s="18" t="n"/>
      <c r="T31" s="19">
        <f>IF($B31="","",_xlfn.LET(_xlpm.v,$H31,_xlpm.n,IF(ISNUMBER(_xlpm.v),_xlpm.v,IF(LEFT(UPPER(TRIM(_xlpm.v)),2)="CW",IFERROR(VALUE(SUBSTITUTE(UPPER(TRIM(_xlpm.v)),"CW","")),""),"")),IF(AND(ISNUMBER(_xlpm.n),_xlpm.n&gt;=1,_xlpm.n&lt;=52),"CW"&amp;_xlpm.n,"")))</f>
        <v/>
      </c>
      <c r="U31" s="17" t="n"/>
      <c r="V31" s="20">
        <f>IF($B31="","",$M31)</f>
        <v/>
      </c>
      <c r="W31" s="20" t="n"/>
      <c r="X31" s="29" t="n"/>
      <c r="Y31" s="30">
        <f>IF(OR($B31="",$J31=""),"",$J31)</f>
        <v/>
      </c>
      <c r="Z31" s="26">
        <f>IF(OR($B31="",$Q31=""),"",$Q31)</f>
        <v/>
      </c>
      <c r="AA31" s="26">
        <f>IF(OR($B31="",$R31=""),"",$R31)</f>
        <v/>
      </c>
      <c r="AB31" s="27">
        <f>IF($B31="","",$M31)</f>
        <v/>
      </c>
      <c r="AC31" s="27" t="n"/>
      <c r="AD31" s="31" t="n"/>
      <c r="AE31" s="41">
        <f>COUNTIF($L31:$P31,1)+COUNTIF($Q31:$S31,1)+COUNTIF($U31:$X31,1)+COUNTIF($Z31:$AD31,1)</f>
        <v/>
      </c>
      <c r="AF31" s="42">
        <f>COUNT($L31:$P31,$Q31:$S31,$U31:$X31,$Z31:$AD31)</f>
        <v/>
      </c>
      <c r="AG31" s="43">
        <f>IF(AF31=0,0,AE31/AF31)</f>
        <v/>
      </c>
      <c r="AH31" s="42">
        <f>IF($B31="","",IF(AF31=0,"Not Started",IF(AE31=AF31,"Complete",IF(AE31=0,"Not Started","In Progress"))))</f>
        <v/>
      </c>
      <c r="AI31" s="45" t="n"/>
    </row>
    <row r="32">
      <c r="A32" s="8">
        <f>IF(B32="","",ROW()-3)</f>
        <v/>
      </c>
      <c r="B32" s="6" t="n"/>
      <c r="C32" s="9" t="n"/>
      <c r="D32" s="6" t="n"/>
      <c r="E32" s="6" t="n"/>
      <c r="F32" s="5" t="n"/>
      <c r="G32" s="6" t="n"/>
      <c r="H32" s="6" t="n"/>
      <c r="I32" s="53" t="n"/>
      <c r="J32" s="39" t="n"/>
      <c r="K32" s="12">
        <f>IF($B32="","",_xlfn.LET(_xlpm.v,$F32,_xlpm.n,IF(ISNUMBER(_xlpm.v),_xlpm.v,IF(LEFT(UPPER(TRIM(_xlpm.v)),2)="CW",IFERROR(VALUE(SUBSTITUTE(UPPER(TRIM(_xlpm.v)),"CW","")),""),"")),IF(AND(ISNUMBER(_xlpm.n),_xlpm.n&gt;=1,_xlpm.n&lt;=52),"CW"&amp;_xlpm.n,"")))</f>
        <v/>
      </c>
      <c r="L32" s="15" t="n"/>
      <c r="M32" s="15" t="n"/>
      <c r="N32" s="15" t="n"/>
      <c r="O32" s="15" t="n"/>
      <c r="P32" s="16" t="n"/>
      <c r="Q32" s="17" t="n"/>
      <c r="R32" s="17" t="n"/>
      <c r="S32" s="18" t="n"/>
      <c r="T32" s="19">
        <f>IF($B32="","",_xlfn.LET(_xlpm.v,$H32,_xlpm.n,IF(ISNUMBER(_xlpm.v),_xlpm.v,IF(LEFT(UPPER(TRIM(_xlpm.v)),2)="CW",IFERROR(VALUE(SUBSTITUTE(UPPER(TRIM(_xlpm.v)),"CW","")),""),"")),IF(AND(ISNUMBER(_xlpm.n),_xlpm.n&gt;=1,_xlpm.n&lt;=52),"CW"&amp;_xlpm.n,"")))</f>
        <v/>
      </c>
      <c r="U32" s="17" t="n"/>
      <c r="V32" s="20">
        <f>IF($B32="","",$M32)</f>
        <v/>
      </c>
      <c r="W32" s="20" t="n"/>
      <c r="X32" s="29" t="n"/>
      <c r="Y32" s="30">
        <f>IF(OR($B32="",$J32=""),"",$J32)</f>
        <v/>
      </c>
      <c r="Z32" s="26">
        <f>IF(OR($B32="",$Q32=""),"",$Q32)</f>
        <v/>
      </c>
      <c r="AA32" s="26">
        <f>IF(OR($B32="",$R32=""),"",$R32)</f>
        <v/>
      </c>
      <c r="AB32" s="27">
        <f>IF($B32="","",$M32)</f>
        <v/>
      </c>
      <c r="AC32" s="27" t="n"/>
      <c r="AD32" s="31" t="n"/>
      <c r="AE32" s="41">
        <f>COUNTIF($L32:$P32,1)+COUNTIF($Q32:$S32,1)+COUNTIF($U32:$X32,1)+COUNTIF($Z32:$AD32,1)</f>
        <v/>
      </c>
      <c r="AF32" s="42">
        <f>COUNT($L32:$P32,$Q32:$S32,$U32:$X32,$Z32:$AD32)</f>
        <v/>
      </c>
      <c r="AG32" s="43">
        <f>IF(AF32=0,0,AE32/AF32)</f>
        <v/>
      </c>
      <c r="AH32" s="42">
        <f>IF($B32="","",IF(AF32=0,"Not Started",IF(AE32=AF32,"Complete",IF(AE32=0,"Not Started","In Progress"))))</f>
        <v/>
      </c>
      <c r="AI32" s="45" t="n"/>
    </row>
    <row r="33">
      <c r="A33" s="8">
        <f>IF(B33="","",ROW()-3)</f>
        <v/>
      </c>
      <c r="B33" s="6" t="n"/>
      <c r="C33" s="9" t="n"/>
      <c r="D33" s="6" t="n"/>
      <c r="E33" s="6" t="n"/>
      <c r="F33" s="5" t="n"/>
      <c r="G33" s="6" t="n"/>
      <c r="H33" s="6" t="n"/>
      <c r="I33" s="53" t="n"/>
      <c r="J33" s="39" t="n"/>
      <c r="K33" s="12">
        <f>IF($B33="","",_xlfn.LET(_xlpm.v,$F33,_xlpm.n,IF(ISNUMBER(_xlpm.v),_xlpm.v,IF(LEFT(UPPER(TRIM(_xlpm.v)),2)="CW",IFERROR(VALUE(SUBSTITUTE(UPPER(TRIM(_xlpm.v)),"CW","")),""),"")),IF(AND(ISNUMBER(_xlpm.n),_xlpm.n&gt;=1,_xlpm.n&lt;=52),"CW"&amp;_xlpm.n,"")))</f>
        <v/>
      </c>
      <c r="L33" s="15" t="n"/>
      <c r="M33" s="15" t="n"/>
      <c r="N33" s="15" t="n"/>
      <c r="O33" s="15" t="n"/>
      <c r="P33" s="16" t="n"/>
      <c r="Q33" s="17" t="n"/>
      <c r="R33" s="17" t="n"/>
      <c r="S33" s="18" t="n"/>
      <c r="T33" s="19">
        <f>IF($B33="","",_xlfn.LET(_xlpm.v,$H33,_xlpm.n,IF(ISNUMBER(_xlpm.v),_xlpm.v,IF(LEFT(UPPER(TRIM(_xlpm.v)),2)="CW",IFERROR(VALUE(SUBSTITUTE(UPPER(TRIM(_xlpm.v)),"CW","")),""),"")),IF(AND(ISNUMBER(_xlpm.n),_xlpm.n&gt;=1,_xlpm.n&lt;=52),"CW"&amp;_xlpm.n,"")))</f>
        <v/>
      </c>
      <c r="U33" s="17" t="n"/>
      <c r="V33" s="20">
        <f>IF($B33="","",$M33)</f>
        <v/>
      </c>
      <c r="W33" s="20" t="n"/>
      <c r="X33" s="29" t="n"/>
      <c r="Y33" s="30">
        <f>IF(OR($B33="",$J33=""),"",$J33)</f>
        <v/>
      </c>
      <c r="Z33" s="26">
        <f>IF(OR($B33="",$Q33=""),"",$Q33)</f>
        <v/>
      </c>
      <c r="AA33" s="26">
        <f>IF(OR($B33="",$R33=""),"",$R33)</f>
        <v/>
      </c>
      <c r="AB33" s="27">
        <f>IF($B33="","",$M33)</f>
        <v/>
      </c>
      <c r="AC33" s="27" t="n"/>
      <c r="AD33" s="31" t="n"/>
      <c r="AE33" s="41">
        <f>COUNTIF($L33:$P33,1)+COUNTIF($Q33:$S33,1)+COUNTIF($U33:$X33,1)+COUNTIF($Z33:$AD33,1)</f>
        <v/>
      </c>
      <c r="AF33" s="42">
        <f>COUNT($L33:$P33,$Q33:$S33,$U33:$X33,$Z33:$AD33)</f>
        <v/>
      </c>
      <c r="AG33" s="43">
        <f>IF(AF33=0,0,AE33/AF33)</f>
        <v/>
      </c>
      <c r="AH33" s="42">
        <f>IF($B33="","",IF(AF33=0,"Not Started",IF(AE33=AF33,"Complete",IF(AE33=0,"Not Started","In Progress"))))</f>
        <v/>
      </c>
      <c r="AI33" s="45" t="n"/>
    </row>
    <row r="34">
      <c r="A34" s="8">
        <f>IF(B34="","",ROW()-3)</f>
        <v/>
      </c>
      <c r="B34" s="6" t="n"/>
      <c r="C34" s="9" t="n"/>
      <c r="D34" s="6" t="n"/>
      <c r="E34" s="6" t="n"/>
      <c r="F34" s="5" t="n"/>
      <c r="G34" s="6" t="n"/>
      <c r="H34" s="6" t="n"/>
      <c r="I34" s="53" t="n"/>
      <c r="J34" s="39" t="n"/>
      <c r="K34" s="12">
        <f>IF($B34="","",_xlfn.LET(_xlpm.v,$F34,_xlpm.n,IF(ISNUMBER(_xlpm.v),_xlpm.v,IF(LEFT(UPPER(TRIM(_xlpm.v)),2)="CW",IFERROR(VALUE(SUBSTITUTE(UPPER(TRIM(_xlpm.v)),"CW","")),""),"")),IF(AND(ISNUMBER(_xlpm.n),_xlpm.n&gt;=1,_xlpm.n&lt;=52),"CW"&amp;_xlpm.n,"")))</f>
        <v/>
      </c>
      <c r="L34" s="15" t="n"/>
      <c r="M34" s="15" t="n"/>
      <c r="N34" s="15" t="n"/>
      <c r="O34" s="15" t="n"/>
      <c r="P34" s="16" t="n"/>
      <c r="Q34" s="17" t="n"/>
      <c r="R34" s="17" t="n"/>
      <c r="S34" s="18" t="n"/>
      <c r="T34" s="19">
        <f>IF($B34="","",_xlfn.LET(_xlpm.v,$H34,_xlpm.n,IF(ISNUMBER(_xlpm.v),_xlpm.v,IF(LEFT(UPPER(TRIM(_xlpm.v)),2)="CW",IFERROR(VALUE(SUBSTITUTE(UPPER(TRIM(_xlpm.v)),"CW","")),""),"")),IF(AND(ISNUMBER(_xlpm.n),_xlpm.n&gt;=1,_xlpm.n&lt;=52),"CW"&amp;_xlpm.n,"")))</f>
        <v/>
      </c>
      <c r="U34" s="17" t="n"/>
      <c r="V34" s="20">
        <f>IF($B34="","",$M34)</f>
        <v/>
      </c>
      <c r="W34" s="20" t="n"/>
      <c r="X34" s="29" t="n"/>
      <c r="Y34" s="30">
        <f>IF(OR($B34="",$J34=""),"",$J34)</f>
        <v/>
      </c>
      <c r="Z34" s="26">
        <f>IF(OR($B34="",$Q34=""),"",$Q34)</f>
        <v/>
      </c>
      <c r="AA34" s="26">
        <f>IF(OR($B34="",$R34=""),"",$R34)</f>
        <v/>
      </c>
      <c r="AB34" s="27">
        <f>IF($B34="","",$M34)</f>
        <v/>
      </c>
      <c r="AC34" s="27" t="n"/>
      <c r="AD34" s="31" t="n"/>
      <c r="AE34" s="41">
        <f>COUNTIF($L34:$P34,1)+COUNTIF($Q34:$S34,1)+COUNTIF($U34:$X34,1)+COUNTIF($Z34:$AD34,1)</f>
        <v/>
      </c>
      <c r="AF34" s="42">
        <f>COUNT($L34:$P34,$Q34:$S34,$U34:$X34,$Z34:$AD34)</f>
        <v/>
      </c>
      <c r="AG34" s="43">
        <f>IF(AF34=0,0,AE34/AF34)</f>
        <v/>
      </c>
      <c r="AH34" s="42">
        <f>IF($B34="","",IF(AF34=0,"Not Started",IF(AE34=AF34,"Complete",IF(AE34=0,"Not Started","In Progress"))))</f>
        <v/>
      </c>
      <c r="AI34" s="45" t="n"/>
    </row>
    <row r="35">
      <c r="A35" s="8">
        <f>IF(B35="","",ROW()-3)</f>
        <v/>
      </c>
      <c r="B35" s="6" t="n"/>
      <c r="C35" s="9" t="n"/>
      <c r="D35" s="6" t="n"/>
      <c r="E35" s="6" t="n"/>
      <c r="F35" s="5" t="n"/>
      <c r="G35" s="6" t="n"/>
      <c r="H35" s="6" t="n"/>
      <c r="I35" s="53" t="n"/>
      <c r="J35" s="39" t="n"/>
      <c r="K35" s="12">
        <f>IF($B35="","",_xlfn.LET(_xlpm.v,$F35,_xlpm.n,IF(ISNUMBER(_xlpm.v),_xlpm.v,IF(LEFT(UPPER(TRIM(_xlpm.v)),2)="CW",IFERROR(VALUE(SUBSTITUTE(UPPER(TRIM(_xlpm.v)),"CW","")),""),"")),IF(AND(ISNUMBER(_xlpm.n),_xlpm.n&gt;=1,_xlpm.n&lt;=52),"CW"&amp;_xlpm.n,"")))</f>
        <v/>
      </c>
      <c r="L35" s="15" t="n"/>
      <c r="M35" s="15" t="n"/>
      <c r="N35" s="15" t="n"/>
      <c r="O35" s="15" t="n"/>
      <c r="P35" s="16" t="n"/>
      <c r="Q35" s="17" t="n"/>
      <c r="R35" s="17" t="n"/>
      <c r="S35" s="18" t="n"/>
      <c r="T35" s="19">
        <f>IF($B35="","",_xlfn.LET(_xlpm.v,$H35,_xlpm.n,IF(ISNUMBER(_xlpm.v),_xlpm.v,IF(LEFT(UPPER(TRIM(_xlpm.v)),2)="CW",IFERROR(VALUE(SUBSTITUTE(UPPER(TRIM(_xlpm.v)),"CW","")),""),"")),IF(AND(ISNUMBER(_xlpm.n),_xlpm.n&gt;=1,_xlpm.n&lt;=52),"CW"&amp;_xlpm.n,"")))</f>
        <v/>
      </c>
      <c r="U35" s="17" t="n"/>
      <c r="V35" s="20">
        <f>IF($B35="","",$M35)</f>
        <v/>
      </c>
      <c r="W35" s="20" t="n"/>
      <c r="X35" s="29" t="n"/>
      <c r="Y35" s="30">
        <f>IF(OR($B35="",$J35=""),"",$J35)</f>
        <v/>
      </c>
      <c r="Z35" s="26">
        <f>IF(OR($B35="",$Q35=""),"",$Q35)</f>
        <v/>
      </c>
      <c r="AA35" s="26">
        <f>IF(OR($B35="",$R35=""),"",$R35)</f>
        <v/>
      </c>
      <c r="AB35" s="27">
        <f>IF($B35="","",$M35)</f>
        <v/>
      </c>
      <c r="AC35" s="27" t="n"/>
      <c r="AD35" s="31" t="n"/>
      <c r="AE35" s="41">
        <f>COUNTIF($L35:$P35,1)+COUNTIF($Q35:$S35,1)+COUNTIF($U35:$X35,1)+COUNTIF($Z35:$AD35,1)</f>
        <v/>
      </c>
      <c r="AF35" s="42">
        <f>COUNT($L35:$P35,$Q35:$S35,$U35:$X35,$Z35:$AD35)</f>
        <v/>
      </c>
      <c r="AG35" s="43">
        <f>IF(AF35=0,0,AE35/AF35)</f>
        <v/>
      </c>
      <c r="AH35" s="42">
        <f>IF($B35="","",IF(AF35=0,"Not Started",IF(AE35=AF35,"Complete",IF(AE35=0,"Not Started","In Progress"))))</f>
        <v/>
      </c>
      <c r="AI35" s="45" t="n"/>
    </row>
    <row r="36">
      <c r="A36" s="8">
        <f>IF(B36="","",ROW()-3)</f>
        <v/>
      </c>
      <c r="B36" s="6" t="n"/>
      <c r="C36" s="9" t="n"/>
      <c r="D36" s="6" t="n"/>
      <c r="E36" s="6" t="n"/>
      <c r="F36" s="5" t="n"/>
      <c r="G36" s="6" t="n"/>
      <c r="H36" s="6" t="n"/>
      <c r="I36" s="53" t="n"/>
      <c r="J36" s="39" t="n"/>
      <c r="K36" s="12">
        <f>IF($B36="","",_xlfn.LET(_xlpm.v,$F36,_xlpm.n,IF(ISNUMBER(_xlpm.v),_xlpm.v,IF(LEFT(UPPER(TRIM(_xlpm.v)),2)="CW",IFERROR(VALUE(SUBSTITUTE(UPPER(TRIM(_xlpm.v)),"CW","")),""),"")),IF(AND(ISNUMBER(_xlpm.n),_xlpm.n&gt;=1,_xlpm.n&lt;=52),"CW"&amp;_xlpm.n,"")))</f>
        <v/>
      </c>
      <c r="L36" s="15" t="n"/>
      <c r="M36" s="15" t="n"/>
      <c r="N36" s="15" t="n"/>
      <c r="O36" s="15" t="n"/>
      <c r="P36" s="16" t="n"/>
      <c r="Q36" s="17" t="n"/>
      <c r="R36" s="17" t="n"/>
      <c r="S36" s="18" t="n"/>
      <c r="T36" s="19">
        <f>IF($B36="","",_xlfn.LET(_xlpm.v,$H36,_xlpm.n,IF(ISNUMBER(_xlpm.v),_xlpm.v,IF(LEFT(UPPER(TRIM(_xlpm.v)),2)="CW",IFERROR(VALUE(SUBSTITUTE(UPPER(TRIM(_xlpm.v)),"CW","")),""),"")),IF(AND(ISNUMBER(_xlpm.n),_xlpm.n&gt;=1,_xlpm.n&lt;=52),"CW"&amp;_xlpm.n,"")))</f>
        <v/>
      </c>
      <c r="U36" s="17" t="n"/>
      <c r="V36" s="20">
        <f>IF($B36="","",$M36)</f>
        <v/>
      </c>
      <c r="W36" s="20" t="n"/>
      <c r="X36" s="29" t="n"/>
      <c r="Y36" s="30">
        <f>IF(OR($B36="",$J36=""),"",$J36)</f>
        <v/>
      </c>
      <c r="Z36" s="26">
        <f>IF(OR($B36="",$Q36=""),"",$Q36)</f>
        <v/>
      </c>
      <c r="AA36" s="26">
        <f>IF(OR($B36="",$R36=""),"",$R36)</f>
        <v/>
      </c>
      <c r="AB36" s="27">
        <f>IF($B36="","",$M36)</f>
        <v/>
      </c>
      <c r="AC36" s="27" t="n"/>
      <c r="AD36" s="31" t="n"/>
      <c r="AE36" s="41">
        <f>COUNTIF($L36:$P36,1)+COUNTIF($Q36:$S36,1)+COUNTIF($U36:$X36,1)+COUNTIF($Z36:$AD36,1)</f>
        <v/>
      </c>
      <c r="AF36" s="42">
        <f>COUNT($L36:$P36,$Q36:$S36,$U36:$X36,$Z36:$AD36)</f>
        <v/>
      </c>
      <c r="AG36" s="43">
        <f>IF(AF36=0,0,AE36/AF36)</f>
        <v/>
      </c>
      <c r="AH36" s="42">
        <f>IF($B36="","",IF(AF36=0,"Not Started",IF(AE36=AF36,"Complete",IF(AE36=0,"Not Started","In Progress"))))</f>
        <v/>
      </c>
      <c r="AI36" s="45" t="n"/>
    </row>
    <row r="37">
      <c r="A37" s="8">
        <f>IF(B37="","",ROW()-3)</f>
        <v/>
      </c>
      <c r="B37" s="6" t="n"/>
      <c r="C37" s="9" t="n"/>
      <c r="D37" s="6" t="n"/>
      <c r="E37" s="6" t="n"/>
      <c r="F37" s="5" t="n"/>
      <c r="G37" s="6" t="n"/>
      <c r="H37" s="6" t="n"/>
      <c r="I37" s="53" t="n"/>
      <c r="J37" s="39" t="n"/>
      <c r="K37" s="12">
        <f>IF($B37="","",_xlfn.LET(_xlpm.v,$F37,_xlpm.n,IF(ISNUMBER(_xlpm.v),_xlpm.v,IF(LEFT(UPPER(TRIM(_xlpm.v)),2)="CW",IFERROR(VALUE(SUBSTITUTE(UPPER(TRIM(_xlpm.v)),"CW","")),""),"")),IF(AND(ISNUMBER(_xlpm.n),_xlpm.n&gt;=1,_xlpm.n&lt;=52),"CW"&amp;_xlpm.n,"")))</f>
        <v/>
      </c>
      <c r="L37" s="15" t="n"/>
      <c r="M37" s="15" t="n"/>
      <c r="N37" s="15" t="n"/>
      <c r="O37" s="15" t="n"/>
      <c r="P37" s="16" t="n"/>
      <c r="Q37" s="17" t="n"/>
      <c r="R37" s="17" t="n"/>
      <c r="S37" s="18" t="n"/>
      <c r="T37" s="19">
        <f>IF($B37="","",_xlfn.LET(_xlpm.v,$H37,_xlpm.n,IF(ISNUMBER(_xlpm.v),_xlpm.v,IF(LEFT(UPPER(TRIM(_xlpm.v)),2)="CW",IFERROR(VALUE(SUBSTITUTE(UPPER(TRIM(_xlpm.v)),"CW","")),""),"")),IF(AND(ISNUMBER(_xlpm.n),_xlpm.n&gt;=1,_xlpm.n&lt;=52),"CW"&amp;_xlpm.n,"")))</f>
        <v/>
      </c>
      <c r="U37" s="17" t="n"/>
      <c r="V37" s="20">
        <f>IF($B37="","",$M37)</f>
        <v/>
      </c>
      <c r="W37" s="20" t="n"/>
      <c r="X37" s="29" t="n"/>
      <c r="Y37" s="30">
        <f>IF(OR($B37="",$J37=""),"",$J37)</f>
        <v/>
      </c>
      <c r="Z37" s="26">
        <f>IF(OR($B37="",$Q37=""),"",$Q37)</f>
        <v/>
      </c>
      <c r="AA37" s="26">
        <f>IF(OR($B37="",$R37=""),"",$R37)</f>
        <v/>
      </c>
      <c r="AB37" s="27">
        <f>IF($B37="","",$M37)</f>
        <v/>
      </c>
      <c r="AC37" s="27" t="n"/>
      <c r="AD37" s="31" t="n"/>
      <c r="AE37" s="41">
        <f>COUNTIF($L37:$P37,1)+COUNTIF($Q37:$S37,1)+COUNTIF($U37:$X37,1)+COUNTIF($Z37:$AD37,1)</f>
        <v/>
      </c>
      <c r="AF37" s="42">
        <f>COUNT($L37:$P37,$Q37:$S37,$U37:$X37,$Z37:$AD37)</f>
        <v/>
      </c>
      <c r="AG37" s="43">
        <f>IF(AF37=0,0,AE37/AF37)</f>
        <v/>
      </c>
      <c r="AH37" s="42">
        <f>IF($B37="","",IF(AF37=0,"Not Started",IF(AE37=AF37,"Complete",IF(AE37=0,"Not Started","In Progress"))))</f>
        <v/>
      </c>
      <c r="AI37" s="45" t="n"/>
    </row>
    <row r="38">
      <c r="A38" s="8">
        <f>IF(B38="","",ROW()-3)</f>
        <v/>
      </c>
      <c r="B38" s="6" t="n"/>
      <c r="C38" s="9" t="n"/>
      <c r="D38" s="6" t="n"/>
      <c r="E38" s="6" t="n"/>
      <c r="F38" s="5" t="n"/>
      <c r="G38" s="6" t="n"/>
      <c r="H38" s="6" t="n"/>
      <c r="I38" s="53" t="n"/>
      <c r="J38" s="39" t="n"/>
      <c r="K38" s="12">
        <f>IF($B38="","",_xlfn.LET(_xlpm.v,$F38,_xlpm.n,IF(ISNUMBER(_xlpm.v),_xlpm.v,IF(LEFT(UPPER(TRIM(_xlpm.v)),2)="CW",IFERROR(VALUE(SUBSTITUTE(UPPER(TRIM(_xlpm.v)),"CW","")),""),"")),IF(AND(ISNUMBER(_xlpm.n),_xlpm.n&gt;=1,_xlpm.n&lt;=52),"CW"&amp;_xlpm.n,"")))</f>
        <v/>
      </c>
      <c r="L38" s="15" t="n"/>
      <c r="M38" s="15" t="n"/>
      <c r="N38" s="15" t="n"/>
      <c r="O38" s="15" t="n"/>
      <c r="P38" s="16" t="n"/>
      <c r="Q38" s="17" t="n"/>
      <c r="R38" s="17" t="n"/>
      <c r="S38" s="18" t="n"/>
      <c r="T38" s="19">
        <f>IF($B38="","",_xlfn.LET(_xlpm.v,$H38,_xlpm.n,IF(ISNUMBER(_xlpm.v),_xlpm.v,IF(LEFT(UPPER(TRIM(_xlpm.v)),2)="CW",IFERROR(VALUE(SUBSTITUTE(UPPER(TRIM(_xlpm.v)),"CW","")),""),"")),IF(AND(ISNUMBER(_xlpm.n),_xlpm.n&gt;=1,_xlpm.n&lt;=52),"CW"&amp;_xlpm.n,"")))</f>
        <v/>
      </c>
      <c r="U38" s="17" t="n"/>
      <c r="V38" s="20">
        <f>IF($B38="","",$M38)</f>
        <v/>
      </c>
      <c r="W38" s="20" t="n"/>
      <c r="X38" s="29" t="n"/>
      <c r="Y38" s="30">
        <f>IF(OR($B38="",$J38=""),"",$J38)</f>
        <v/>
      </c>
      <c r="Z38" s="26">
        <f>IF(OR($B38="",$Q38=""),"",$Q38)</f>
        <v/>
      </c>
      <c r="AA38" s="26">
        <f>IF(OR($B38="",$R38=""),"",$R38)</f>
        <v/>
      </c>
      <c r="AB38" s="27">
        <f>IF($B38="","",$M38)</f>
        <v/>
      </c>
      <c r="AC38" s="27" t="n"/>
      <c r="AD38" s="31" t="n"/>
      <c r="AE38" s="41">
        <f>COUNTIF($L38:$P38,1)+COUNTIF($Q38:$S38,1)+COUNTIF($U38:$X38,1)+COUNTIF($Z38:$AD38,1)</f>
        <v/>
      </c>
      <c r="AF38" s="42">
        <f>COUNT($L38:$P38,$Q38:$S38,$U38:$X38,$Z38:$AD38)</f>
        <v/>
      </c>
      <c r="AG38" s="43">
        <f>IF(AF38=0,0,AE38/AF38)</f>
        <v/>
      </c>
      <c r="AH38" s="42">
        <f>IF($B38="","",IF(AF38=0,"Not Started",IF(AE38=AF38,"Complete",IF(AE38=0,"Not Started","In Progress"))))</f>
        <v/>
      </c>
      <c r="AI38" s="45" t="n"/>
    </row>
    <row r="39">
      <c r="A39" s="8">
        <f>IF(B39="","",ROW()-3)</f>
        <v/>
      </c>
      <c r="B39" s="6" t="n"/>
      <c r="C39" s="9" t="n"/>
      <c r="D39" s="6" t="n"/>
      <c r="E39" s="6" t="n"/>
      <c r="F39" s="5" t="n"/>
      <c r="G39" s="6" t="n"/>
      <c r="H39" s="6" t="n"/>
      <c r="I39" s="53" t="n"/>
      <c r="J39" s="39" t="n"/>
      <c r="K39" s="12">
        <f>IF($B39="","",_xlfn.LET(_xlpm.v,$F39,_xlpm.n,IF(ISNUMBER(_xlpm.v),_xlpm.v,IF(LEFT(UPPER(TRIM(_xlpm.v)),2)="CW",IFERROR(VALUE(SUBSTITUTE(UPPER(TRIM(_xlpm.v)),"CW","")),""),"")),IF(AND(ISNUMBER(_xlpm.n),_xlpm.n&gt;=1,_xlpm.n&lt;=52),"CW"&amp;_xlpm.n,"")))</f>
        <v/>
      </c>
      <c r="L39" s="15" t="n"/>
      <c r="M39" s="15" t="n"/>
      <c r="N39" s="15" t="n"/>
      <c r="O39" s="15" t="n"/>
      <c r="P39" s="16" t="n"/>
      <c r="Q39" s="17" t="n"/>
      <c r="R39" s="17" t="n"/>
      <c r="S39" s="18" t="n"/>
      <c r="T39" s="19">
        <f>IF($B39="","",_xlfn.LET(_xlpm.v,$H39,_xlpm.n,IF(ISNUMBER(_xlpm.v),_xlpm.v,IF(LEFT(UPPER(TRIM(_xlpm.v)),2)="CW",IFERROR(VALUE(SUBSTITUTE(UPPER(TRIM(_xlpm.v)),"CW","")),""),"")),IF(AND(ISNUMBER(_xlpm.n),_xlpm.n&gt;=1,_xlpm.n&lt;=52),"CW"&amp;_xlpm.n,"")))</f>
        <v/>
      </c>
      <c r="U39" s="17" t="n"/>
      <c r="V39" s="20">
        <f>IF($B39="","",$M39)</f>
        <v/>
      </c>
      <c r="W39" s="20" t="n"/>
      <c r="X39" s="29" t="n"/>
      <c r="Y39" s="30">
        <f>IF(OR($B39="",$J39=""),"",$J39)</f>
        <v/>
      </c>
      <c r="Z39" s="26">
        <f>IF(OR($B39="",$Q39=""),"",$Q39)</f>
        <v/>
      </c>
      <c r="AA39" s="26">
        <f>IF(OR($B39="",$R39=""),"",$R39)</f>
        <v/>
      </c>
      <c r="AB39" s="27">
        <f>IF($B39="","",$M39)</f>
        <v/>
      </c>
      <c r="AC39" s="27" t="n"/>
      <c r="AD39" s="31" t="n"/>
      <c r="AE39" s="41">
        <f>COUNTIF($L39:$P39,1)+COUNTIF($Q39:$S39,1)+COUNTIF($U39:$X39,1)+COUNTIF($Z39:$AD39,1)</f>
        <v/>
      </c>
      <c r="AF39" s="42">
        <f>COUNT($L39:$P39,$Q39:$S39,$U39:$X39,$Z39:$AD39)</f>
        <v/>
      </c>
      <c r="AG39" s="43">
        <f>IF(AF39=0,0,AE39/AF39)</f>
        <v/>
      </c>
      <c r="AH39" s="42">
        <f>IF($B39="","",IF(AF39=0,"Not Started",IF(AE39=AF39,"Complete",IF(AE39=0,"Not Started","In Progress"))))</f>
        <v/>
      </c>
      <c r="AI39" s="45" t="n"/>
    </row>
    <row r="40">
      <c r="A40" s="8">
        <f>IF(B40="","",ROW()-3)</f>
        <v/>
      </c>
      <c r="B40" s="6" t="n"/>
      <c r="C40" s="9" t="n"/>
      <c r="D40" s="6" t="n"/>
      <c r="E40" s="6" t="n"/>
      <c r="F40" s="5" t="n"/>
      <c r="G40" s="6" t="n"/>
      <c r="H40" s="6" t="n"/>
      <c r="I40" s="53" t="n"/>
      <c r="J40" s="39" t="n"/>
      <c r="K40" s="12">
        <f>IF($B40="","",_xlfn.LET(_xlpm.v,$F40,_xlpm.n,IF(ISNUMBER(_xlpm.v),_xlpm.v,IF(LEFT(UPPER(TRIM(_xlpm.v)),2)="CW",IFERROR(VALUE(SUBSTITUTE(UPPER(TRIM(_xlpm.v)),"CW","")),""),"")),IF(AND(ISNUMBER(_xlpm.n),_xlpm.n&gt;=1,_xlpm.n&lt;=52),"CW"&amp;_xlpm.n,"")))</f>
        <v/>
      </c>
      <c r="L40" s="15" t="n"/>
      <c r="M40" s="15" t="n"/>
      <c r="N40" s="15" t="n"/>
      <c r="O40" s="15" t="n"/>
      <c r="P40" s="16" t="n"/>
      <c r="Q40" s="17" t="n"/>
      <c r="R40" s="17" t="n"/>
      <c r="S40" s="18" t="n"/>
      <c r="T40" s="19">
        <f>IF($B40="","",_xlfn.LET(_xlpm.v,$H40,_xlpm.n,IF(ISNUMBER(_xlpm.v),_xlpm.v,IF(LEFT(UPPER(TRIM(_xlpm.v)),2)="CW",IFERROR(VALUE(SUBSTITUTE(UPPER(TRIM(_xlpm.v)),"CW","")),""),"")),IF(AND(ISNUMBER(_xlpm.n),_xlpm.n&gt;=1,_xlpm.n&lt;=52),"CW"&amp;_xlpm.n,"")))</f>
        <v/>
      </c>
      <c r="U40" s="17" t="n"/>
      <c r="V40" s="20">
        <f>IF($B40="","",$M40)</f>
        <v/>
      </c>
      <c r="W40" s="20" t="n"/>
      <c r="X40" s="29" t="n"/>
      <c r="Y40" s="30">
        <f>IF(OR($B40="",$J40=""),"",$J40)</f>
        <v/>
      </c>
      <c r="Z40" s="26">
        <f>IF(OR($B40="",$Q40=""),"",$Q40)</f>
        <v/>
      </c>
      <c r="AA40" s="26">
        <f>IF(OR($B40="",$R40=""),"",$R40)</f>
        <v/>
      </c>
      <c r="AB40" s="27">
        <f>IF($B40="","",$M40)</f>
        <v/>
      </c>
      <c r="AC40" s="27" t="n"/>
      <c r="AD40" s="31" t="n"/>
      <c r="AE40" s="41">
        <f>COUNTIF($L40:$P40,1)+COUNTIF($Q40:$S40,1)+COUNTIF($U40:$X40,1)+COUNTIF($Z40:$AD40,1)</f>
        <v/>
      </c>
      <c r="AF40" s="42">
        <f>COUNT($L40:$P40,$Q40:$S40,$U40:$X40,$Z40:$AD40)</f>
        <v/>
      </c>
      <c r="AG40" s="43">
        <f>IF(AF40=0,0,AE40/AF40)</f>
        <v/>
      </c>
      <c r="AH40" s="42">
        <f>IF($B40="","",IF(AF40=0,"Not Started",IF(AE40=AF40,"Complete",IF(AE40=0,"Not Started","In Progress"))))</f>
        <v/>
      </c>
      <c r="AI40" s="45" t="n"/>
    </row>
    <row r="41">
      <c r="A41" s="8">
        <f>IF(B41="","",ROW()-3)</f>
        <v/>
      </c>
      <c r="B41" s="6" t="n"/>
      <c r="C41" s="9" t="n"/>
      <c r="D41" s="6" t="n"/>
      <c r="E41" s="6" t="n"/>
      <c r="F41" s="5" t="n"/>
      <c r="G41" s="6" t="n"/>
      <c r="H41" s="6" t="n"/>
      <c r="I41" s="53" t="n"/>
      <c r="J41" s="39" t="n"/>
      <c r="K41" s="12">
        <f>IF($B41="","",_xlfn.LET(_xlpm.v,$F41,_xlpm.n,IF(ISNUMBER(_xlpm.v),_xlpm.v,IF(LEFT(UPPER(TRIM(_xlpm.v)),2)="CW",IFERROR(VALUE(SUBSTITUTE(UPPER(TRIM(_xlpm.v)),"CW","")),""),"")),IF(AND(ISNUMBER(_xlpm.n),_xlpm.n&gt;=1,_xlpm.n&lt;=52),"CW"&amp;_xlpm.n,"")))</f>
        <v/>
      </c>
      <c r="L41" s="15" t="n"/>
      <c r="M41" s="15" t="n"/>
      <c r="N41" s="15" t="n"/>
      <c r="O41" s="15" t="n"/>
      <c r="P41" s="16" t="n"/>
      <c r="Q41" s="17" t="n"/>
      <c r="R41" s="17" t="n"/>
      <c r="S41" s="18" t="n"/>
      <c r="T41" s="19">
        <f>IF($B41="","",_xlfn.LET(_xlpm.v,$H41,_xlpm.n,IF(ISNUMBER(_xlpm.v),_xlpm.v,IF(LEFT(UPPER(TRIM(_xlpm.v)),2)="CW",IFERROR(VALUE(SUBSTITUTE(UPPER(TRIM(_xlpm.v)),"CW","")),""),"")),IF(AND(ISNUMBER(_xlpm.n),_xlpm.n&gt;=1,_xlpm.n&lt;=52),"CW"&amp;_xlpm.n,"")))</f>
        <v/>
      </c>
      <c r="U41" s="17" t="n"/>
      <c r="V41" s="20">
        <f>IF($B41="","",$M41)</f>
        <v/>
      </c>
      <c r="W41" s="20" t="n"/>
      <c r="X41" s="29" t="n"/>
      <c r="Y41" s="30">
        <f>IF(OR($B41="",$J41=""),"",$J41)</f>
        <v/>
      </c>
      <c r="Z41" s="26">
        <f>IF(OR($B41="",$Q41=""),"",$Q41)</f>
        <v/>
      </c>
      <c r="AA41" s="26">
        <f>IF(OR($B41="",$R41=""),"",$R41)</f>
        <v/>
      </c>
      <c r="AB41" s="27">
        <f>IF($B41="","",$M41)</f>
        <v/>
      </c>
      <c r="AC41" s="27" t="n"/>
      <c r="AD41" s="31" t="n"/>
      <c r="AE41" s="41">
        <f>COUNTIF($L41:$P41,1)+COUNTIF($Q41:$S41,1)+COUNTIF($U41:$X41,1)+COUNTIF($Z41:$AD41,1)</f>
        <v/>
      </c>
      <c r="AF41" s="42">
        <f>COUNT($L41:$P41,$Q41:$S41,$U41:$X41,$Z41:$AD41)</f>
        <v/>
      </c>
      <c r="AG41" s="43">
        <f>IF(AF41=0,0,AE41/AF41)</f>
        <v/>
      </c>
      <c r="AH41" s="42">
        <f>IF($B41="","",IF(AF41=0,"Not Started",IF(AE41=AF41,"Complete",IF(AE41=0,"Not Started","In Progress"))))</f>
        <v/>
      </c>
      <c r="AI41" s="45" t="n"/>
    </row>
    <row r="42">
      <c r="A42" s="8">
        <f>IF(B42="","",ROW()-3)</f>
        <v/>
      </c>
      <c r="B42" s="6" t="n"/>
      <c r="C42" s="9" t="n"/>
      <c r="D42" s="6" t="n"/>
      <c r="E42" s="6" t="n"/>
      <c r="F42" s="5" t="n"/>
      <c r="G42" s="6" t="n"/>
      <c r="H42" s="6" t="n"/>
      <c r="I42" s="53" t="n"/>
      <c r="J42" s="39" t="n"/>
      <c r="K42" s="12">
        <f>IF($B42="","",_xlfn.LET(_xlpm.v,$F42,_xlpm.n,IF(ISNUMBER(_xlpm.v),_xlpm.v,IF(LEFT(UPPER(TRIM(_xlpm.v)),2)="CW",IFERROR(VALUE(SUBSTITUTE(UPPER(TRIM(_xlpm.v)),"CW","")),""),"")),IF(AND(ISNUMBER(_xlpm.n),_xlpm.n&gt;=1,_xlpm.n&lt;=52),"CW"&amp;_xlpm.n,"")))</f>
        <v/>
      </c>
      <c r="L42" s="15" t="n"/>
      <c r="M42" s="15" t="n"/>
      <c r="N42" s="15" t="n"/>
      <c r="O42" s="15" t="n"/>
      <c r="P42" s="16" t="n"/>
      <c r="Q42" s="17" t="n"/>
      <c r="R42" s="17" t="n"/>
      <c r="S42" s="18" t="n"/>
      <c r="T42" s="19">
        <f>IF($B42="","",_xlfn.LET(_xlpm.v,$H42,_xlpm.n,IF(ISNUMBER(_xlpm.v),_xlpm.v,IF(LEFT(UPPER(TRIM(_xlpm.v)),2)="CW",IFERROR(VALUE(SUBSTITUTE(UPPER(TRIM(_xlpm.v)),"CW","")),""),"")),IF(AND(ISNUMBER(_xlpm.n),_xlpm.n&gt;=1,_xlpm.n&lt;=52),"CW"&amp;_xlpm.n,"")))</f>
        <v/>
      </c>
      <c r="U42" s="17" t="n"/>
      <c r="V42" s="20">
        <f>IF($B42="","",$M42)</f>
        <v/>
      </c>
      <c r="W42" s="20" t="n"/>
      <c r="X42" s="29" t="n"/>
      <c r="Y42" s="30">
        <f>IF(OR($B42="",$J42=""),"",$J42)</f>
        <v/>
      </c>
      <c r="Z42" s="26">
        <f>IF(OR($B42="",$Q42=""),"",$Q42)</f>
        <v/>
      </c>
      <c r="AA42" s="26">
        <f>IF(OR($B42="",$R42=""),"",$R42)</f>
        <v/>
      </c>
      <c r="AB42" s="27">
        <f>IF($B42="","",$M42)</f>
        <v/>
      </c>
      <c r="AC42" s="27" t="n"/>
      <c r="AD42" s="31" t="n"/>
      <c r="AE42" s="41">
        <f>COUNTIF($L42:$P42,1)+COUNTIF($Q42:$S42,1)+COUNTIF($U42:$X42,1)+COUNTIF($Z42:$AD42,1)</f>
        <v/>
      </c>
      <c r="AF42" s="42">
        <f>COUNT($L42:$P42,$Q42:$S42,$U42:$X42,$Z42:$AD42)</f>
        <v/>
      </c>
      <c r="AG42" s="43">
        <f>IF(AF42=0,0,AE42/AF42)</f>
        <v/>
      </c>
      <c r="AH42" s="42">
        <f>IF($B42="","",IF(AF42=0,"Not Started",IF(AE42=AF42,"Complete",IF(AE42=0,"Not Started","In Progress"))))</f>
        <v/>
      </c>
      <c r="AI42" s="45" t="n"/>
    </row>
    <row r="43">
      <c r="A43" s="8">
        <f>IF(B43="","",ROW()-3)</f>
        <v/>
      </c>
      <c r="B43" s="6" t="n"/>
      <c r="C43" s="9" t="n"/>
      <c r="D43" s="6" t="n"/>
      <c r="E43" s="6" t="n"/>
      <c r="F43" s="5" t="n"/>
      <c r="G43" s="6" t="n"/>
      <c r="H43" s="6" t="n"/>
      <c r="I43" s="53" t="n"/>
      <c r="J43" s="39" t="n"/>
      <c r="K43" s="12">
        <f>IF($B43="","",_xlfn.LET(_xlpm.v,$F43,_xlpm.n,IF(ISNUMBER(_xlpm.v),_xlpm.v,IF(LEFT(UPPER(TRIM(_xlpm.v)),2)="CW",IFERROR(VALUE(SUBSTITUTE(UPPER(TRIM(_xlpm.v)),"CW","")),""),"")),IF(AND(ISNUMBER(_xlpm.n),_xlpm.n&gt;=1,_xlpm.n&lt;=52),"CW"&amp;_xlpm.n,"")))</f>
        <v/>
      </c>
      <c r="L43" s="15" t="n"/>
      <c r="M43" s="15" t="n"/>
      <c r="N43" s="15" t="n"/>
      <c r="O43" s="15" t="n"/>
      <c r="P43" s="16" t="n"/>
      <c r="Q43" s="17" t="n"/>
      <c r="R43" s="17" t="n"/>
      <c r="S43" s="18" t="n"/>
      <c r="T43" s="19">
        <f>IF($B43="","",_xlfn.LET(_xlpm.v,$H43,_xlpm.n,IF(ISNUMBER(_xlpm.v),_xlpm.v,IF(LEFT(UPPER(TRIM(_xlpm.v)),2)="CW",IFERROR(VALUE(SUBSTITUTE(UPPER(TRIM(_xlpm.v)),"CW","")),""),"")),IF(AND(ISNUMBER(_xlpm.n),_xlpm.n&gt;=1,_xlpm.n&lt;=52),"CW"&amp;_xlpm.n,"")))</f>
        <v/>
      </c>
      <c r="U43" s="17" t="n"/>
      <c r="V43" s="20">
        <f>IF($B43="","",$M43)</f>
        <v/>
      </c>
      <c r="W43" s="20" t="n"/>
      <c r="X43" s="29" t="n"/>
      <c r="Y43" s="30">
        <f>IF(OR($B43="",$J43=""),"",$J43)</f>
        <v/>
      </c>
      <c r="Z43" s="26">
        <f>IF(OR($B43="",$Q43=""),"",$Q43)</f>
        <v/>
      </c>
      <c r="AA43" s="26">
        <f>IF(OR($B43="",$R43=""),"",$R43)</f>
        <v/>
      </c>
      <c r="AB43" s="27">
        <f>IF($B43="","",$M43)</f>
        <v/>
      </c>
      <c r="AC43" s="27" t="n"/>
      <c r="AD43" s="31" t="n"/>
      <c r="AE43" s="41">
        <f>COUNTIF($L43:$P43,1)+COUNTIF($Q43:$S43,1)+COUNTIF($U43:$X43,1)+COUNTIF($Z43:$AD43,1)</f>
        <v/>
      </c>
      <c r="AF43" s="42">
        <f>COUNT($L43:$P43,$Q43:$S43,$U43:$X43,$Z43:$AD43)</f>
        <v/>
      </c>
      <c r="AG43" s="43">
        <f>IF(AF43=0,0,AE43/AF43)</f>
        <v/>
      </c>
      <c r="AH43" s="42">
        <f>IF($B43="","",IF(AF43=0,"Not Started",IF(AE43=AF43,"Complete",IF(AE43=0,"Not Started","In Progress"))))</f>
        <v/>
      </c>
      <c r="AI43" s="45" t="n"/>
    </row>
    <row r="44">
      <c r="A44" s="8">
        <f>IF(B44="","",ROW()-3)</f>
        <v/>
      </c>
      <c r="B44" s="6" t="n"/>
      <c r="C44" s="9" t="n"/>
      <c r="D44" s="6" t="n"/>
      <c r="E44" s="6" t="n"/>
      <c r="F44" s="5" t="n"/>
      <c r="G44" s="6" t="n"/>
      <c r="H44" s="6" t="n"/>
      <c r="I44" s="53" t="n"/>
      <c r="J44" s="39" t="n"/>
      <c r="K44" s="12">
        <f>IF($B44="","",_xlfn.LET(_xlpm.v,$F44,_xlpm.n,IF(ISNUMBER(_xlpm.v),_xlpm.v,IF(LEFT(UPPER(TRIM(_xlpm.v)),2)="CW",IFERROR(VALUE(SUBSTITUTE(UPPER(TRIM(_xlpm.v)),"CW","")),""),"")),IF(AND(ISNUMBER(_xlpm.n),_xlpm.n&gt;=1,_xlpm.n&lt;=52),"CW"&amp;_xlpm.n,"")))</f>
        <v/>
      </c>
      <c r="L44" s="15" t="n"/>
      <c r="M44" s="15" t="n"/>
      <c r="N44" s="15" t="n"/>
      <c r="O44" s="15" t="n"/>
      <c r="P44" s="16" t="n"/>
      <c r="Q44" s="17" t="n"/>
      <c r="R44" s="17" t="n"/>
      <c r="S44" s="18" t="n"/>
      <c r="T44" s="19">
        <f>IF($B44="","",_xlfn.LET(_xlpm.v,$H44,_xlpm.n,IF(ISNUMBER(_xlpm.v),_xlpm.v,IF(LEFT(UPPER(TRIM(_xlpm.v)),2)="CW",IFERROR(VALUE(SUBSTITUTE(UPPER(TRIM(_xlpm.v)),"CW","")),""),"")),IF(AND(ISNUMBER(_xlpm.n),_xlpm.n&gt;=1,_xlpm.n&lt;=52),"CW"&amp;_xlpm.n,"")))</f>
        <v/>
      </c>
      <c r="U44" s="17" t="n"/>
      <c r="V44" s="20">
        <f>IF($B44="","",$M44)</f>
        <v/>
      </c>
      <c r="W44" s="20" t="n"/>
      <c r="X44" s="29" t="n"/>
      <c r="Y44" s="30">
        <f>IF(OR($B44="",$J44=""),"",$J44)</f>
        <v/>
      </c>
      <c r="Z44" s="26">
        <f>IF(OR($B44="",$Q44=""),"",$Q44)</f>
        <v/>
      </c>
      <c r="AA44" s="26">
        <f>IF(OR($B44="",$R44=""),"",$R44)</f>
        <v/>
      </c>
      <c r="AB44" s="27">
        <f>IF($B44="","",$M44)</f>
        <v/>
      </c>
      <c r="AC44" s="27" t="n"/>
      <c r="AD44" s="31" t="n"/>
      <c r="AE44" s="41">
        <f>COUNTIF($L44:$P44,1)+COUNTIF($Q44:$S44,1)+COUNTIF($U44:$X44,1)+COUNTIF($Z44:$AD44,1)</f>
        <v/>
      </c>
      <c r="AF44" s="42">
        <f>COUNT($L44:$P44,$Q44:$S44,$U44:$X44,$Z44:$AD44)</f>
        <v/>
      </c>
      <c r="AG44" s="43">
        <f>IF(AF44=0,0,AE44/AF44)</f>
        <v/>
      </c>
      <c r="AH44" s="42">
        <f>IF($B44="","",IF(AF44=0,"Not Started",IF(AE44=AF44,"Complete",IF(AE44=0,"Not Started","In Progress"))))</f>
        <v/>
      </c>
      <c r="AI44" s="45" t="n"/>
    </row>
    <row r="45">
      <c r="A45" s="8">
        <f>IF(B45="","",ROW()-3)</f>
        <v/>
      </c>
      <c r="B45" s="6" t="n"/>
      <c r="C45" s="9" t="n"/>
      <c r="D45" s="6" t="n"/>
      <c r="E45" s="6" t="n"/>
      <c r="F45" s="5" t="n"/>
      <c r="G45" s="6" t="n"/>
      <c r="H45" s="6" t="n"/>
      <c r="I45" s="53" t="n"/>
      <c r="J45" s="39" t="n"/>
      <c r="K45" s="12">
        <f>IF($B45="","",_xlfn.LET(_xlpm.v,$F45,_xlpm.n,IF(ISNUMBER(_xlpm.v),_xlpm.v,IF(LEFT(UPPER(TRIM(_xlpm.v)),2)="CW",IFERROR(VALUE(SUBSTITUTE(UPPER(TRIM(_xlpm.v)),"CW","")),""),"")),IF(AND(ISNUMBER(_xlpm.n),_xlpm.n&gt;=1,_xlpm.n&lt;=52),"CW"&amp;_xlpm.n,"")))</f>
        <v/>
      </c>
      <c r="L45" s="15" t="n"/>
      <c r="M45" s="15" t="n"/>
      <c r="N45" s="15" t="n"/>
      <c r="O45" s="15" t="n"/>
      <c r="P45" s="16" t="n"/>
      <c r="Q45" s="17" t="n"/>
      <c r="R45" s="17" t="n"/>
      <c r="S45" s="18" t="n"/>
      <c r="T45" s="19">
        <f>IF($B45="","",_xlfn.LET(_xlpm.v,$H45,_xlpm.n,IF(ISNUMBER(_xlpm.v),_xlpm.v,IF(LEFT(UPPER(TRIM(_xlpm.v)),2)="CW",IFERROR(VALUE(SUBSTITUTE(UPPER(TRIM(_xlpm.v)),"CW","")),""),"")),IF(AND(ISNUMBER(_xlpm.n),_xlpm.n&gt;=1,_xlpm.n&lt;=52),"CW"&amp;_xlpm.n,"")))</f>
        <v/>
      </c>
      <c r="U45" s="17" t="n"/>
      <c r="V45" s="20">
        <f>IF($B45="","",$M45)</f>
        <v/>
      </c>
      <c r="W45" s="20" t="n"/>
      <c r="X45" s="29" t="n"/>
      <c r="Y45" s="30">
        <f>IF(OR($B45="",$J45=""),"",$J45)</f>
        <v/>
      </c>
      <c r="Z45" s="26">
        <f>IF(OR($B45="",$Q45=""),"",$Q45)</f>
        <v/>
      </c>
      <c r="AA45" s="26">
        <f>IF(OR($B45="",$R45=""),"",$R45)</f>
        <v/>
      </c>
      <c r="AB45" s="27">
        <f>IF($B45="","",$M45)</f>
        <v/>
      </c>
      <c r="AC45" s="27" t="n"/>
      <c r="AD45" s="31" t="n"/>
      <c r="AE45" s="41">
        <f>COUNTIF($L45:$P45,1)+COUNTIF($Q45:$S45,1)+COUNTIF($U45:$X45,1)+COUNTIF($Z45:$AD45,1)</f>
        <v/>
      </c>
      <c r="AF45" s="42">
        <f>COUNT($L45:$P45,$Q45:$S45,$U45:$X45,$Z45:$AD45)</f>
        <v/>
      </c>
      <c r="AG45" s="43">
        <f>IF(AF45=0,0,AE45/AF45)</f>
        <v/>
      </c>
      <c r="AH45" s="42">
        <f>IF($B45="","",IF(AF45=0,"Not Started",IF(AE45=AF45,"Complete",IF(AE45=0,"Not Started","In Progress"))))</f>
        <v/>
      </c>
      <c r="AI45" s="45" t="n"/>
    </row>
    <row r="46">
      <c r="A46" s="8">
        <f>IF(B46="","",ROW()-3)</f>
        <v/>
      </c>
      <c r="B46" s="6" t="n"/>
      <c r="C46" s="9" t="n"/>
      <c r="D46" s="6" t="n"/>
      <c r="E46" s="6" t="n"/>
      <c r="F46" s="5" t="n"/>
      <c r="G46" s="6" t="n"/>
      <c r="H46" s="6" t="n"/>
      <c r="I46" s="53" t="n"/>
      <c r="J46" s="39" t="n"/>
      <c r="K46" s="12">
        <f>IF($B46="","",_xlfn.LET(_xlpm.v,$F46,_xlpm.n,IF(ISNUMBER(_xlpm.v),_xlpm.v,IF(LEFT(UPPER(TRIM(_xlpm.v)),2)="CW",IFERROR(VALUE(SUBSTITUTE(UPPER(TRIM(_xlpm.v)),"CW","")),""),"")),IF(AND(ISNUMBER(_xlpm.n),_xlpm.n&gt;=1,_xlpm.n&lt;=52),"CW"&amp;_xlpm.n,"")))</f>
        <v/>
      </c>
      <c r="L46" s="15" t="n"/>
      <c r="M46" s="15" t="n"/>
      <c r="N46" s="15" t="n"/>
      <c r="O46" s="15" t="n"/>
      <c r="P46" s="16" t="n"/>
      <c r="Q46" s="17" t="n"/>
      <c r="R46" s="17" t="n"/>
      <c r="S46" s="18" t="n"/>
      <c r="T46" s="19">
        <f>IF($B46="","",_xlfn.LET(_xlpm.v,$H46,_xlpm.n,IF(ISNUMBER(_xlpm.v),_xlpm.v,IF(LEFT(UPPER(TRIM(_xlpm.v)),2)="CW",IFERROR(VALUE(SUBSTITUTE(UPPER(TRIM(_xlpm.v)),"CW","")),""),"")),IF(AND(ISNUMBER(_xlpm.n),_xlpm.n&gt;=1,_xlpm.n&lt;=52),"CW"&amp;_xlpm.n,"")))</f>
        <v/>
      </c>
      <c r="U46" s="17" t="n"/>
      <c r="V46" s="20">
        <f>IF($B46="","",$M46)</f>
        <v/>
      </c>
      <c r="W46" s="20" t="n"/>
      <c r="X46" s="29" t="n"/>
      <c r="Y46" s="30">
        <f>IF(OR($B46="",$J46=""),"",$J46)</f>
        <v/>
      </c>
      <c r="Z46" s="26">
        <f>IF(OR($B46="",$Q46=""),"",$Q46)</f>
        <v/>
      </c>
      <c r="AA46" s="26">
        <f>IF(OR($B46="",$R46=""),"",$R46)</f>
        <v/>
      </c>
      <c r="AB46" s="27">
        <f>IF($B46="","",$M46)</f>
        <v/>
      </c>
      <c r="AC46" s="27" t="n"/>
      <c r="AD46" s="31" t="n"/>
      <c r="AE46" s="41">
        <f>COUNTIF($L46:$P46,1)+COUNTIF($Q46:$S46,1)+COUNTIF($U46:$X46,1)+COUNTIF($Z46:$AD46,1)</f>
        <v/>
      </c>
      <c r="AF46" s="42">
        <f>COUNT($L46:$P46,$Q46:$S46,$U46:$X46,$Z46:$AD46)</f>
        <v/>
      </c>
      <c r="AG46" s="43">
        <f>IF(AF46=0,0,AE46/AF46)</f>
        <v/>
      </c>
      <c r="AH46" s="42">
        <f>IF($B46="","",IF(AF46=0,"Not Started",IF(AE46=AF46,"Complete",IF(AE46=0,"Not Started","In Progress"))))</f>
        <v/>
      </c>
      <c r="AI46" s="45" t="n"/>
    </row>
    <row r="47">
      <c r="A47" s="8">
        <f>IF(B47="","",ROW()-3)</f>
        <v/>
      </c>
      <c r="B47" s="6" t="n"/>
      <c r="C47" s="9" t="n"/>
      <c r="D47" s="6" t="n"/>
      <c r="E47" s="6" t="n"/>
      <c r="F47" s="5" t="n"/>
      <c r="G47" s="6" t="n"/>
      <c r="H47" s="6" t="n"/>
      <c r="I47" s="53" t="n"/>
      <c r="J47" s="39" t="n"/>
      <c r="K47" s="12">
        <f>IF($B47="","",_xlfn.LET(_xlpm.v,$F47,_xlpm.n,IF(ISNUMBER(_xlpm.v),_xlpm.v,IF(LEFT(UPPER(TRIM(_xlpm.v)),2)="CW",IFERROR(VALUE(SUBSTITUTE(UPPER(TRIM(_xlpm.v)),"CW","")),""),"")),IF(AND(ISNUMBER(_xlpm.n),_xlpm.n&gt;=1,_xlpm.n&lt;=52),"CW"&amp;_xlpm.n,"")))</f>
        <v/>
      </c>
      <c r="L47" s="15" t="n"/>
      <c r="M47" s="15" t="n"/>
      <c r="N47" s="15" t="n"/>
      <c r="O47" s="15" t="n"/>
      <c r="P47" s="16" t="n"/>
      <c r="Q47" s="17" t="n"/>
      <c r="R47" s="17" t="n"/>
      <c r="S47" s="18" t="n"/>
      <c r="T47" s="19">
        <f>IF($B47="","",_xlfn.LET(_xlpm.v,$H47,_xlpm.n,IF(ISNUMBER(_xlpm.v),_xlpm.v,IF(LEFT(UPPER(TRIM(_xlpm.v)),2)="CW",IFERROR(VALUE(SUBSTITUTE(UPPER(TRIM(_xlpm.v)),"CW","")),""),"")),IF(AND(ISNUMBER(_xlpm.n),_xlpm.n&gt;=1,_xlpm.n&lt;=52),"CW"&amp;_xlpm.n,"")))</f>
        <v/>
      </c>
      <c r="U47" s="17" t="n"/>
      <c r="V47" s="20">
        <f>IF($B47="","",$M47)</f>
        <v/>
      </c>
      <c r="W47" s="20" t="n"/>
      <c r="X47" s="29" t="n"/>
      <c r="Y47" s="30">
        <f>IF(OR($B47="",$J47=""),"",$J47)</f>
        <v/>
      </c>
      <c r="Z47" s="26">
        <f>IF(OR($B47="",$Q47=""),"",$Q47)</f>
        <v/>
      </c>
      <c r="AA47" s="26">
        <f>IF(OR($B47="",$R47=""),"",$R47)</f>
        <v/>
      </c>
      <c r="AB47" s="27">
        <f>IF($B47="","",$M47)</f>
        <v/>
      </c>
      <c r="AC47" s="27" t="n"/>
      <c r="AD47" s="31" t="n"/>
      <c r="AE47" s="41">
        <f>COUNTIF($L47:$P47,1)+COUNTIF($Q47:$S47,1)+COUNTIF($U47:$X47,1)+COUNTIF($Z47:$AD47,1)</f>
        <v/>
      </c>
      <c r="AF47" s="42">
        <f>COUNT($L47:$P47,$Q47:$S47,$U47:$X47,$Z47:$AD47)</f>
        <v/>
      </c>
      <c r="AG47" s="43">
        <f>IF(AF47=0,0,AE47/AF47)</f>
        <v/>
      </c>
      <c r="AH47" s="42">
        <f>IF($B47="","",IF(AF47=0,"Not Started",IF(AE47=AF47,"Complete",IF(AE47=0,"Not Started","In Progress"))))</f>
        <v/>
      </c>
      <c r="AI47" s="45" t="n"/>
    </row>
    <row r="48">
      <c r="A48" s="8">
        <f>IF(B48="","",ROW()-3)</f>
        <v/>
      </c>
      <c r="B48" s="6" t="n"/>
      <c r="C48" s="9" t="n"/>
      <c r="D48" s="6" t="n"/>
      <c r="E48" s="6" t="n"/>
      <c r="F48" s="5" t="n"/>
      <c r="G48" s="6" t="n"/>
      <c r="H48" s="6" t="n"/>
      <c r="I48" s="53" t="n"/>
      <c r="J48" s="39" t="n"/>
      <c r="K48" s="12">
        <f>IF($B48="","",_xlfn.LET(_xlpm.v,$F48,_xlpm.n,IF(ISNUMBER(_xlpm.v),_xlpm.v,IF(LEFT(UPPER(TRIM(_xlpm.v)),2)="CW",IFERROR(VALUE(SUBSTITUTE(UPPER(TRIM(_xlpm.v)),"CW","")),""),"")),IF(AND(ISNUMBER(_xlpm.n),_xlpm.n&gt;=1,_xlpm.n&lt;=52),"CW"&amp;_xlpm.n,"")))</f>
        <v/>
      </c>
      <c r="L48" s="15" t="n"/>
      <c r="M48" s="15" t="n"/>
      <c r="N48" s="15" t="n"/>
      <c r="O48" s="15" t="n"/>
      <c r="P48" s="16" t="n"/>
      <c r="Q48" s="17" t="n"/>
      <c r="R48" s="17" t="n"/>
      <c r="S48" s="18" t="n"/>
      <c r="T48" s="19">
        <f>IF($B48="","",_xlfn.LET(_xlpm.v,$H48,_xlpm.n,IF(ISNUMBER(_xlpm.v),_xlpm.v,IF(LEFT(UPPER(TRIM(_xlpm.v)),2)="CW",IFERROR(VALUE(SUBSTITUTE(UPPER(TRIM(_xlpm.v)),"CW","")),""),"")),IF(AND(ISNUMBER(_xlpm.n),_xlpm.n&gt;=1,_xlpm.n&lt;=52),"CW"&amp;_xlpm.n,"")))</f>
        <v/>
      </c>
      <c r="U48" s="17" t="n"/>
      <c r="V48" s="20">
        <f>IF($B48="","",$M48)</f>
        <v/>
      </c>
      <c r="W48" s="20" t="n"/>
      <c r="X48" s="29" t="n"/>
      <c r="Y48" s="30">
        <f>IF(OR($B48="",$J48=""),"",$J48)</f>
        <v/>
      </c>
      <c r="Z48" s="26">
        <f>IF(OR($B48="",$Q48=""),"",$Q48)</f>
        <v/>
      </c>
      <c r="AA48" s="26">
        <f>IF(OR($B48="",$R48=""),"",$R48)</f>
        <v/>
      </c>
      <c r="AB48" s="27">
        <f>IF($B48="","",$M48)</f>
        <v/>
      </c>
      <c r="AC48" s="27" t="n"/>
      <c r="AD48" s="31" t="n"/>
      <c r="AE48" s="41">
        <f>COUNTIF($L48:$P48,1)+COUNTIF($Q48:$S48,1)+COUNTIF($U48:$X48,1)+COUNTIF($Z48:$AD48,1)</f>
        <v/>
      </c>
      <c r="AF48" s="42">
        <f>COUNT($L48:$P48,$Q48:$S48,$U48:$X48,$Z48:$AD48)</f>
        <v/>
      </c>
      <c r="AG48" s="43">
        <f>IF(AF48=0,0,AE48/AF48)</f>
        <v/>
      </c>
      <c r="AH48" s="42">
        <f>IF($B48="","",IF(AF48=0,"Not Started",IF(AE48=AF48,"Complete",IF(AE48=0,"Not Started","In Progress"))))</f>
        <v/>
      </c>
      <c r="AI48" s="45" t="n"/>
    </row>
    <row r="49">
      <c r="A49" s="8">
        <f>IF(B49="","",ROW()-3)</f>
        <v/>
      </c>
      <c r="B49" s="6" t="n"/>
      <c r="C49" s="9" t="n"/>
      <c r="D49" s="6" t="n"/>
      <c r="E49" s="6" t="n"/>
      <c r="F49" s="5" t="n"/>
      <c r="G49" s="6" t="n"/>
      <c r="H49" s="6" t="n"/>
      <c r="I49" s="53" t="n"/>
      <c r="J49" s="39" t="n"/>
      <c r="K49" s="12">
        <f>IF($B49="","",_xlfn.LET(_xlpm.v,$F49,_xlpm.n,IF(ISNUMBER(_xlpm.v),_xlpm.v,IF(LEFT(UPPER(TRIM(_xlpm.v)),2)="CW",IFERROR(VALUE(SUBSTITUTE(UPPER(TRIM(_xlpm.v)),"CW","")),""),"")),IF(AND(ISNUMBER(_xlpm.n),_xlpm.n&gt;=1,_xlpm.n&lt;=52),"CW"&amp;_xlpm.n,"")))</f>
        <v/>
      </c>
      <c r="L49" s="15" t="n"/>
      <c r="M49" s="15" t="n"/>
      <c r="N49" s="15" t="n"/>
      <c r="O49" s="15" t="n"/>
      <c r="P49" s="16" t="n"/>
      <c r="Q49" s="17" t="n"/>
      <c r="R49" s="17" t="n"/>
      <c r="S49" s="18" t="n"/>
      <c r="T49" s="19">
        <f>IF($B49="","",_xlfn.LET(_xlpm.v,$H49,_xlpm.n,IF(ISNUMBER(_xlpm.v),_xlpm.v,IF(LEFT(UPPER(TRIM(_xlpm.v)),2)="CW",IFERROR(VALUE(SUBSTITUTE(UPPER(TRIM(_xlpm.v)),"CW","")),""),"")),IF(AND(ISNUMBER(_xlpm.n),_xlpm.n&gt;=1,_xlpm.n&lt;=52),"CW"&amp;_xlpm.n,"")))</f>
        <v/>
      </c>
      <c r="U49" s="17" t="n"/>
      <c r="V49" s="20">
        <f>IF($B49="","",$M49)</f>
        <v/>
      </c>
      <c r="W49" s="20" t="n"/>
      <c r="X49" s="29" t="n"/>
      <c r="Y49" s="30">
        <f>IF(OR($B49="",$J49=""),"",$J49)</f>
        <v/>
      </c>
      <c r="Z49" s="26">
        <f>IF(OR($B49="",$Q49=""),"",$Q49)</f>
        <v/>
      </c>
      <c r="AA49" s="26">
        <f>IF(OR($B49="",$R49=""),"",$R49)</f>
        <v/>
      </c>
      <c r="AB49" s="27">
        <f>IF($B49="","",$M49)</f>
        <v/>
      </c>
      <c r="AC49" s="27" t="n"/>
      <c r="AD49" s="31" t="n"/>
      <c r="AE49" s="41">
        <f>COUNTIF($L49:$P49,1)+COUNTIF($Q49:$S49,1)+COUNTIF($U49:$X49,1)+COUNTIF($Z49:$AD49,1)</f>
        <v/>
      </c>
      <c r="AF49" s="42">
        <f>COUNT($L49:$P49,$Q49:$S49,$U49:$X49,$Z49:$AD49)</f>
        <v/>
      </c>
      <c r="AG49" s="43">
        <f>IF(AF49=0,0,AE49/AF49)</f>
        <v/>
      </c>
      <c r="AH49" s="42">
        <f>IF($B49="","",IF(AF49=0,"Not Started",IF(AE49=AF49,"Complete",IF(AE49=0,"Not Started","In Progress"))))</f>
        <v/>
      </c>
      <c r="AI49" s="45" t="n"/>
    </row>
    <row r="50">
      <c r="A50" s="8">
        <f>IF(B50="","",ROW()-3)</f>
        <v/>
      </c>
      <c r="B50" s="6" t="n"/>
      <c r="C50" s="9" t="n"/>
      <c r="D50" s="6" t="n"/>
      <c r="E50" s="6" t="n"/>
      <c r="F50" s="5" t="n"/>
      <c r="G50" s="6" t="n"/>
      <c r="H50" s="6" t="n"/>
      <c r="I50" s="53" t="n"/>
      <c r="J50" s="39" t="n"/>
      <c r="K50" s="12">
        <f>IF($B50="","",_xlfn.LET(_xlpm.v,$F50,_xlpm.n,IF(ISNUMBER(_xlpm.v),_xlpm.v,IF(LEFT(UPPER(TRIM(_xlpm.v)),2)="CW",IFERROR(VALUE(SUBSTITUTE(UPPER(TRIM(_xlpm.v)),"CW","")),""),"")),IF(AND(ISNUMBER(_xlpm.n),_xlpm.n&gt;=1,_xlpm.n&lt;=52),"CW"&amp;_xlpm.n,"")))</f>
        <v/>
      </c>
      <c r="L50" s="15" t="n"/>
      <c r="M50" s="15" t="n"/>
      <c r="N50" s="15" t="n"/>
      <c r="O50" s="15" t="n"/>
      <c r="P50" s="16" t="n"/>
      <c r="Q50" s="17" t="n"/>
      <c r="R50" s="17" t="n"/>
      <c r="S50" s="18" t="n"/>
      <c r="T50" s="19">
        <f>IF($B50="","",_xlfn.LET(_xlpm.v,$H50,_xlpm.n,IF(ISNUMBER(_xlpm.v),_xlpm.v,IF(LEFT(UPPER(TRIM(_xlpm.v)),2)="CW",IFERROR(VALUE(SUBSTITUTE(UPPER(TRIM(_xlpm.v)),"CW","")),""),"")),IF(AND(ISNUMBER(_xlpm.n),_xlpm.n&gt;=1,_xlpm.n&lt;=52),"CW"&amp;_xlpm.n,"")))</f>
        <v/>
      </c>
      <c r="U50" s="17" t="n"/>
      <c r="V50" s="20">
        <f>IF($B50="","",$M50)</f>
        <v/>
      </c>
      <c r="W50" s="20" t="n"/>
      <c r="X50" s="29" t="n"/>
      <c r="Y50" s="30">
        <f>IF(OR($B50="",$J50=""),"",$J50)</f>
        <v/>
      </c>
      <c r="Z50" s="26">
        <f>IF(OR($B50="",$Q50=""),"",$Q50)</f>
        <v/>
      </c>
      <c r="AA50" s="26">
        <f>IF(OR($B50="",$R50=""),"",$R50)</f>
        <v/>
      </c>
      <c r="AB50" s="27">
        <f>IF($B50="","",$M50)</f>
        <v/>
      </c>
      <c r="AC50" s="27" t="n"/>
      <c r="AD50" s="31" t="n"/>
      <c r="AE50" s="41">
        <f>COUNTIF($L50:$P50,1)+COUNTIF($Q50:$S50,1)+COUNTIF($U50:$X50,1)+COUNTIF($Z50:$AD50,1)</f>
        <v/>
      </c>
      <c r="AF50" s="42">
        <f>COUNT($L50:$P50,$Q50:$S50,$U50:$X50,$Z50:$AD50)</f>
        <v/>
      </c>
      <c r="AG50" s="43">
        <f>IF(AF50=0,0,AE50/AF50)</f>
        <v/>
      </c>
      <c r="AH50" s="42">
        <f>IF($B50="","",IF(AF50=0,"Not Started",IF(AE50=AF50,"Complete",IF(AE50=0,"Not Started","In Progress"))))</f>
        <v/>
      </c>
      <c r="AI50" s="45" t="n"/>
    </row>
    <row r="51">
      <c r="A51" s="8">
        <f>IF(B51="","",ROW()-3)</f>
        <v/>
      </c>
      <c r="B51" s="6" t="n"/>
      <c r="C51" s="9" t="n"/>
      <c r="D51" s="6" t="n"/>
      <c r="E51" s="6" t="n"/>
      <c r="F51" s="5" t="n"/>
      <c r="G51" s="6" t="n"/>
      <c r="H51" s="6" t="n"/>
      <c r="I51" s="53" t="n"/>
      <c r="J51" s="39" t="n"/>
      <c r="K51" s="12">
        <f>IF($B51="","",_xlfn.LET(_xlpm.v,$F51,_xlpm.n,IF(ISNUMBER(_xlpm.v),_xlpm.v,IF(LEFT(UPPER(TRIM(_xlpm.v)),2)="CW",IFERROR(VALUE(SUBSTITUTE(UPPER(TRIM(_xlpm.v)),"CW","")),""),"")),IF(AND(ISNUMBER(_xlpm.n),_xlpm.n&gt;=1,_xlpm.n&lt;=52),"CW"&amp;_xlpm.n,"")))</f>
        <v/>
      </c>
      <c r="L51" s="15" t="n"/>
      <c r="M51" s="15" t="n"/>
      <c r="N51" s="15" t="n"/>
      <c r="O51" s="15" t="n"/>
      <c r="P51" s="16" t="n"/>
      <c r="Q51" s="17" t="n"/>
      <c r="R51" s="17" t="n"/>
      <c r="S51" s="18" t="n"/>
      <c r="T51" s="19">
        <f>IF($B51="","",_xlfn.LET(_xlpm.v,$H51,_xlpm.n,IF(ISNUMBER(_xlpm.v),_xlpm.v,IF(LEFT(UPPER(TRIM(_xlpm.v)),2)="CW",IFERROR(VALUE(SUBSTITUTE(UPPER(TRIM(_xlpm.v)),"CW","")),""),"")),IF(AND(ISNUMBER(_xlpm.n),_xlpm.n&gt;=1,_xlpm.n&lt;=52),"CW"&amp;_xlpm.n,"")))</f>
        <v/>
      </c>
      <c r="U51" s="17" t="n"/>
      <c r="V51" s="20">
        <f>IF($B51="","",$M51)</f>
        <v/>
      </c>
      <c r="W51" s="20" t="n"/>
      <c r="X51" s="29" t="n"/>
      <c r="Y51" s="30">
        <f>IF(OR($B51="",$J51=""),"",$J51)</f>
        <v/>
      </c>
      <c r="Z51" s="26">
        <f>IF(OR($B51="",$Q51=""),"",$Q51)</f>
        <v/>
      </c>
      <c r="AA51" s="26">
        <f>IF(OR($B51="",$R51=""),"",$R51)</f>
        <v/>
      </c>
      <c r="AB51" s="27">
        <f>IF($B51="","",$M51)</f>
        <v/>
      </c>
      <c r="AC51" s="27" t="n"/>
      <c r="AD51" s="31" t="n"/>
      <c r="AE51" s="41">
        <f>COUNTIF($L51:$P51,1)+COUNTIF($Q51:$S51,1)+COUNTIF($U51:$X51,1)+COUNTIF($Z51:$AD51,1)</f>
        <v/>
      </c>
      <c r="AF51" s="42">
        <f>COUNT($L51:$P51,$Q51:$S51,$U51:$X51,$Z51:$AD51)</f>
        <v/>
      </c>
      <c r="AG51" s="43">
        <f>IF(AF51=0,0,AE51/AF51)</f>
        <v/>
      </c>
      <c r="AH51" s="42">
        <f>IF($B51="","",IF(AF51=0,"Not Started",IF(AE51=AF51,"Complete",IF(AE51=0,"Not Started","In Progress"))))</f>
        <v/>
      </c>
      <c r="AI51" s="45" t="n"/>
    </row>
    <row r="52">
      <c r="A52" s="8">
        <f>IF(B52="","",ROW()-3)</f>
        <v/>
      </c>
      <c r="B52" s="6" t="n"/>
      <c r="C52" s="9" t="n"/>
      <c r="D52" s="6" t="n"/>
      <c r="E52" s="6" t="n"/>
      <c r="F52" s="5" t="n"/>
      <c r="G52" s="6" t="n"/>
      <c r="H52" s="6" t="n"/>
      <c r="I52" s="53" t="n"/>
      <c r="J52" s="39" t="n"/>
      <c r="K52" s="12">
        <f>IF($B52="","",_xlfn.LET(_xlpm.v,$F52,_xlpm.n,IF(ISNUMBER(_xlpm.v),_xlpm.v,IF(LEFT(UPPER(TRIM(_xlpm.v)),2)="CW",IFERROR(VALUE(SUBSTITUTE(UPPER(TRIM(_xlpm.v)),"CW","")),""),"")),IF(AND(ISNUMBER(_xlpm.n),_xlpm.n&gt;=1,_xlpm.n&lt;=52),"CW"&amp;_xlpm.n,"")))</f>
        <v/>
      </c>
      <c r="L52" s="15" t="n"/>
      <c r="M52" s="15" t="n"/>
      <c r="N52" s="15" t="n"/>
      <c r="O52" s="15" t="n"/>
      <c r="P52" s="16" t="n"/>
      <c r="Q52" s="17" t="n"/>
      <c r="R52" s="17" t="n"/>
      <c r="S52" s="18" t="n"/>
      <c r="T52" s="19">
        <f>IF($B52="","",_xlfn.LET(_xlpm.v,$H52,_xlpm.n,IF(ISNUMBER(_xlpm.v),_xlpm.v,IF(LEFT(UPPER(TRIM(_xlpm.v)),2)="CW",IFERROR(VALUE(SUBSTITUTE(UPPER(TRIM(_xlpm.v)),"CW","")),""),"")),IF(AND(ISNUMBER(_xlpm.n),_xlpm.n&gt;=1,_xlpm.n&lt;=52),"CW"&amp;_xlpm.n,"")))</f>
        <v/>
      </c>
      <c r="U52" s="17" t="n"/>
      <c r="V52" s="20">
        <f>IF($B52="","",$M52)</f>
        <v/>
      </c>
      <c r="W52" s="20" t="n"/>
      <c r="X52" s="29" t="n"/>
      <c r="Y52" s="30">
        <f>IF(OR($B52="",$J52=""),"",$J52)</f>
        <v/>
      </c>
      <c r="Z52" s="26">
        <f>IF(OR($B52="",$Q52=""),"",$Q52)</f>
        <v/>
      </c>
      <c r="AA52" s="26">
        <f>IF(OR($B52="",$R52=""),"",$R52)</f>
        <v/>
      </c>
      <c r="AB52" s="27">
        <f>IF($B52="","",$M52)</f>
        <v/>
      </c>
      <c r="AC52" s="27" t="n"/>
      <c r="AD52" s="31" t="n"/>
      <c r="AE52" s="41">
        <f>COUNTIF($L52:$P52,1)+COUNTIF($Q52:$S52,1)+COUNTIF($U52:$X52,1)+COUNTIF($Z52:$AD52,1)</f>
        <v/>
      </c>
      <c r="AF52" s="42">
        <f>COUNT($L52:$P52,$Q52:$S52,$U52:$X52,$Z52:$AD52)</f>
        <v/>
      </c>
      <c r="AG52" s="43">
        <f>IF(AF52=0,0,AE52/AF52)</f>
        <v/>
      </c>
      <c r="AH52" s="42">
        <f>IF($B52="","",IF(AF52=0,"Not Started",IF(AE52=AF52,"Complete",IF(AE52=0,"Not Started","In Progress"))))</f>
        <v/>
      </c>
      <c r="AI52" s="45" t="n"/>
    </row>
    <row r="53">
      <c r="A53" s="8">
        <f>IF(B53="","",ROW()-3)</f>
        <v/>
      </c>
      <c r="B53" s="6" t="n"/>
      <c r="C53" s="9" t="n"/>
      <c r="D53" s="6" t="n"/>
      <c r="E53" s="6" t="n"/>
      <c r="F53" s="5" t="n"/>
      <c r="G53" s="6" t="n"/>
      <c r="H53" s="6" t="n"/>
      <c r="I53" s="53" t="n"/>
      <c r="J53" s="39" t="n"/>
      <c r="K53" s="12">
        <f>IF($B53="","",_xlfn.LET(_xlpm.v,$F53,_xlpm.n,IF(ISNUMBER(_xlpm.v),_xlpm.v,IF(LEFT(UPPER(TRIM(_xlpm.v)),2)="CW",IFERROR(VALUE(SUBSTITUTE(UPPER(TRIM(_xlpm.v)),"CW","")),""),"")),IF(AND(ISNUMBER(_xlpm.n),_xlpm.n&gt;=1,_xlpm.n&lt;=52),"CW"&amp;_xlpm.n,"")))</f>
        <v/>
      </c>
      <c r="L53" s="15" t="n"/>
      <c r="M53" s="15" t="n"/>
      <c r="N53" s="15" t="n"/>
      <c r="O53" s="15" t="n"/>
      <c r="P53" s="16" t="n"/>
      <c r="Q53" s="17" t="n"/>
      <c r="R53" s="17" t="n"/>
      <c r="S53" s="18" t="n"/>
      <c r="T53" s="19">
        <f>IF($B53="","",_xlfn.LET(_xlpm.v,$H53,_xlpm.n,IF(ISNUMBER(_xlpm.v),_xlpm.v,IF(LEFT(UPPER(TRIM(_xlpm.v)),2)="CW",IFERROR(VALUE(SUBSTITUTE(UPPER(TRIM(_xlpm.v)),"CW","")),""),"")),IF(AND(ISNUMBER(_xlpm.n),_xlpm.n&gt;=1,_xlpm.n&lt;=52),"CW"&amp;_xlpm.n,"")))</f>
        <v/>
      </c>
      <c r="U53" s="17" t="n"/>
      <c r="V53" s="20">
        <f>IF($B53="","",$M53)</f>
        <v/>
      </c>
      <c r="W53" s="20" t="n"/>
      <c r="X53" s="29" t="n"/>
      <c r="Y53" s="30">
        <f>IF(OR($B53="",$J53=""),"",$J53)</f>
        <v/>
      </c>
      <c r="Z53" s="26">
        <f>IF(OR($B53="",$Q53=""),"",$Q53)</f>
        <v/>
      </c>
      <c r="AA53" s="26">
        <f>IF(OR($B53="",$R53=""),"",$R53)</f>
        <v/>
      </c>
      <c r="AB53" s="27">
        <f>IF($B53="","",$M53)</f>
        <v/>
      </c>
      <c r="AC53" s="27" t="n"/>
      <c r="AD53" s="31" t="n"/>
      <c r="AE53" s="41">
        <f>COUNTIF($L53:$P53,1)+COUNTIF($Q53:$S53,1)+COUNTIF($U53:$X53,1)+COUNTIF($Z53:$AD53,1)</f>
        <v/>
      </c>
      <c r="AF53" s="42">
        <f>COUNT($L53:$P53,$Q53:$S53,$U53:$X53,$Z53:$AD53)</f>
        <v/>
      </c>
      <c r="AG53" s="43">
        <f>IF(AF53=0,0,AE53/AF53)</f>
        <v/>
      </c>
      <c r="AH53" s="42">
        <f>IF($B53="","",IF(AF53=0,"Not Started",IF(AE53=AF53,"Complete",IF(AE53=0,"Not Started","In Progress"))))</f>
        <v/>
      </c>
      <c r="AI53" s="45" t="n"/>
    </row>
    <row r="54">
      <c r="A54" s="8">
        <f>IF(B54="","",ROW()-3)</f>
        <v/>
      </c>
      <c r="B54" s="6" t="n"/>
      <c r="C54" s="9" t="n"/>
      <c r="D54" s="6" t="n"/>
      <c r="E54" s="6" t="n"/>
      <c r="F54" s="6" t="n"/>
      <c r="G54" s="6" t="n"/>
      <c r="H54" s="6" t="n"/>
      <c r="I54" s="53" t="n"/>
      <c r="J54" s="39" t="n"/>
      <c r="K54" s="12">
        <f>IF($B54="","",_xlfn.LET(_xlpm.v,$F54,_xlpm.n,IF(ISNUMBER(_xlpm.v),_xlpm.v,IF(LEFT(UPPER(TRIM(_xlpm.v)),2)="CW",IFERROR(VALUE(SUBSTITUTE(UPPER(TRIM(_xlpm.v)),"CW","")),""),"")),IF(AND(ISNUMBER(_xlpm.n),_xlpm.n&gt;=1,_xlpm.n&lt;=52),"CW"&amp;_xlpm.n,"")))</f>
        <v/>
      </c>
      <c r="L54" s="15" t="n"/>
      <c r="M54" s="15" t="n"/>
      <c r="N54" s="15" t="n"/>
      <c r="O54" s="15" t="n"/>
      <c r="P54" s="16" t="n"/>
      <c r="Q54" s="17" t="n"/>
      <c r="R54" s="17" t="n"/>
      <c r="S54" s="18" t="n"/>
      <c r="T54" s="19">
        <f>IF($B54="","",_xlfn.LET(_xlpm.v,$H54,_xlpm.n,IF(ISNUMBER(_xlpm.v),_xlpm.v,IF(LEFT(UPPER(TRIM(_xlpm.v)),2)="CW",IFERROR(VALUE(SUBSTITUTE(UPPER(TRIM(_xlpm.v)),"CW","")),""),"")),IF(AND(ISNUMBER(_xlpm.n),_xlpm.n&gt;=1,_xlpm.n&lt;=52),"CW"&amp;_xlpm.n,"")))</f>
        <v/>
      </c>
      <c r="U54" s="17" t="n"/>
      <c r="V54" s="20">
        <f>IF($B54="","",$M54)</f>
        <v/>
      </c>
      <c r="W54" s="20" t="n"/>
      <c r="X54" s="29" t="n"/>
      <c r="Y54" s="30">
        <f>IF(OR($B54="",$J54=""),"",$J54)</f>
        <v/>
      </c>
      <c r="Z54" s="26">
        <f>IF(OR($B54="",$Q54=""),"",$Q54)</f>
        <v/>
      </c>
      <c r="AA54" s="26">
        <f>IF(OR($B54="",$R54=""),"",$R54)</f>
        <v/>
      </c>
      <c r="AB54" s="27">
        <f>IF($B54="","",$M54)</f>
        <v/>
      </c>
      <c r="AC54" s="27" t="n"/>
      <c r="AD54" s="31" t="n"/>
      <c r="AE54" s="41">
        <f>COUNTIF($L54:$P54,1)+COUNTIF($Q54:$S54,1)+COUNTIF($U54:$X54,1)+COUNTIF($Z54:$AD54,1)</f>
        <v/>
      </c>
      <c r="AF54" s="42">
        <f>COUNT($L54:$P54,$Q54:$S54,$U54:$X54,$Z54:$AD54)</f>
        <v/>
      </c>
      <c r="AG54" s="43">
        <f>IF(AF54=0,0,AE54/AF54)</f>
        <v/>
      </c>
      <c r="AH54" s="42">
        <f>IF($B54="","",IF(AF54=0,"Not Started",IF(AE54=AF54,"Complete",IF(AE54=0,"Not Started","In Progress"))))</f>
        <v/>
      </c>
      <c r="AI54" s="45" t="n"/>
    </row>
  </sheetData>
  <mergeCells count="16">
    <mergeCell ref="K2:P2"/>
    <mergeCell ref="Y2:AD2"/>
    <mergeCell ref="AF2:AF3"/>
    <mergeCell ref="C2:C3"/>
    <mergeCell ref="T2:X2"/>
    <mergeCell ref="A1:AI1"/>
    <mergeCell ref="F2:H2"/>
    <mergeCell ref="A2:A3"/>
    <mergeCell ref="B2:B3"/>
    <mergeCell ref="AE2:AE3"/>
    <mergeCell ref="D2:D3"/>
    <mergeCell ref="AI2:AI3"/>
    <mergeCell ref="AG2:AG3"/>
    <mergeCell ref="E2:E3"/>
    <mergeCell ref="AH2:AH3"/>
    <mergeCell ref="Q2:S2"/>
  </mergeCells>
  <conditionalFormatting sqref="F4:I54">
    <cfRule type="expression" priority="51" dxfId="20">
      <formula>AND(LEFT(UPPER(TRIM(F4)),2)="CW",IFERROR(VALUE(SUBSTITUTE(UPPER(TRIM(F4)),"CW","")),0)=MOD(_xlfn.ISOWEEKNUM(TODAY()),52)+1)</formula>
    </cfRule>
  </conditionalFormatting>
  <conditionalFormatting sqref="J4:J54">
    <cfRule type="expression" priority="49" dxfId="19">
      <formula>AND(LEFT(UPPER(TRIM(J4)),2)="CW",IFERROR(VALUE(SUBSTITUTE(UPPER(TRIM(J4)),"CW","")),0)=MOD(_xlfn.ISOWEEKNUM(TODAY()),52)+1)</formula>
    </cfRule>
    <cfRule type="expression" priority="50" dxfId="2">
      <formula>AND(LEFT(UPPER(TRIM(J4)),2)="CW",IFERROR(VALUE(SUBSTITUTE(UPPER(TRIM(J4)),"CW","")),0)=MOD(_xlfn.ISOWEEKNUM(TODAY())+1,52)+1)</formula>
    </cfRule>
  </conditionalFormatting>
  <conditionalFormatting sqref="L4:S54 U4:X54 AB4:AD54">
    <cfRule type="expression" priority="25" dxfId="15">
      <formula>L4=1</formula>
    </cfRule>
    <cfRule type="expression" priority="26" dxfId="16">
      <formula>L4=0</formula>
    </cfRule>
    <cfRule type="expression" priority="27" dxfId="15">
      <formula>L4="N/A"</formula>
    </cfRule>
  </conditionalFormatting>
  <conditionalFormatting sqref="Z4:AA54">
    <cfRule type="expression" priority="58" dxfId="12">
      <formula>Z4=1</formula>
    </cfRule>
    <cfRule type="expression" priority="59" dxfId="1">
      <formula>Z4=0</formula>
    </cfRule>
    <cfRule type="expression" priority="60" dxfId="12">
      <formula>Z4="N/A"</formula>
    </cfRule>
  </conditionalFormatting>
  <conditionalFormatting sqref="AG4:AG54">
    <cfRule type="expression" priority="44" dxfId="8">
      <formula>$AG4=1</formula>
    </cfRule>
    <cfRule type="expression" priority="45" dxfId="7">
      <formula>AND($AG4&gt;0,$AG4&lt;1)</formula>
    </cfRule>
    <cfRule type="expression" priority="46" dxfId="6">
      <formula>$AG4=0</formula>
    </cfRule>
  </conditionalFormatting>
  <conditionalFormatting sqref="AH4:AH54">
    <cfRule type="expression" priority="34" dxfId="8">
      <formula>$AH4="Complete"</formula>
    </cfRule>
    <cfRule type="expression" priority="35" dxfId="7">
      <formula>$AH4="In Progress"</formula>
    </cfRule>
    <cfRule type="expression" priority="36" dxfId="6">
      <formula>$AH4="Not Started"</formula>
    </cfRule>
  </conditionalFormatting>
  <conditionalFormatting sqref="AI4:AI54">
    <cfRule type="expression" priority="52" dxfId="5">
      <formula>$AI4="Shipment Done"</formula>
    </cfRule>
    <cfRule type="expression" priority="53" dxfId="4">
      <formula>$AI4="on process"</formula>
    </cfRule>
    <cfRule type="expression" priority="54" dxfId="3">
      <formula>$AI4="Wait FAT"</formula>
    </cfRule>
    <cfRule type="expression" priority="55" dxfId="2">
      <formula>$AI4="FAT Done"</formula>
    </cfRule>
    <cfRule type="expression" priority="56" dxfId="1">
      <formula>$AI4="On hold"</formula>
    </cfRule>
    <cfRule type="expression" priority="57" dxfId="0">
      <formula>$AI4="FAT Activity"</formula>
    </cfRule>
  </conditionalFormatting>
  <dataValidations count="3">
    <dataValidation sqref="F4:J54" showDropDown="0" showInputMessage="0" showErrorMessage="0" allowBlank="1" type="list">
      <formula1>"CW1,CW2,CW3,CW4,CW5,CW6,CW7,CW8,CW9,CW10,CW11,CW12,CW13,CW14,CW15,CW16,CW17,CW18,CW19,CW20,CW21,CW22,CW23,CW24,CW25,CW26,CW27,CW28,CW29,CW30,CW31,CW32,CW33,CW34,CW35,CW36,CW37,CW38,CW39,CW40,CW41,CW42,CW43,CW44,CW45,CW46,CW47,CW48,CW49,CW50,CW51,CW52,N/A"</formula1>
      <formula2>0</formula2>
    </dataValidation>
    <dataValidation sqref="AI4:AI54" showDropDown="0" showInputMessage="1" showErrorMessage="1" allowBlank="1" errorTitle="Status ไม่ถูกต้อง" error="กรุณาเลือกสถานะจากรายการ" type="list">
      <formula1>"Shipment Done,on process,Wait FAT,FAT Done,On hold,FAT Activity"</formula1>
    </dataValidation>
    <dataValidation sqref="K4:AD54" showDropDown="0" showInputMessage="0" showErrorMessage="1" allowBlank="1" errorTitle="Invalid status" error="Select 1, 0, or N/A" promptTitle="Document status" prompt="1 = Complete, 0 = Open, N/A = Not applicable" type="list">
      <formula1>"1,0,N/A"</formula1>
      <formula2>0</formula2>
    </dataValidation>
  </dataValidations>
  <pageMargins left="0.75" right="0.75" top="1" bottom="1" header="0.511811023622047" footer="0.5"/>
  <pageSetup orientation="landscape" scale="39" fitToHeight="0" horizontalDpi="300" verticalDpi="300"/>
  <headerFooter>
    <oddHeader/>
    <oddFooter>&amp;CSource: K-PD 207 Documentation, Twelfth Edition, 20.08.2026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Koalumtharn, Somporn</dc:creator>
  <dcterms:created xmlns:dcterms="http://purl.org/dc/terms/" xmlns:xsi="http://www.w3.org/2001/XMLSchema-instance" xsi:type="dcterms:W3CDTF">2026-09-03T14:33:14Z</dcterms:created>
  <dcterms:modified xmlns:dcterms="http://purl.org/dc/terms/" xmlns:xsi="http://www.w3.org/2001/XMLSchema-instance" xsi:type="dcterms:W3CDTF">2026-10-12T09:48:15Z</dcterms:modified>
  <cp:lastModifiedBy>Preephim, Chatuphon</cp:lastModifiedBy>
  <cp:revision>0</cp:revision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0x0101004F63AA186EFEBE45AA4D1421A515F544</vt:lpwstr>
  </property>
  <property name="MediaServiceImageTags" fmtid="{D5CDD505-2E9C-101B-9397-08002B2CF9AE}" pid="3">
    <vt:lpwstr xmlns:vt="http://schemas.openxmlformats.org/officeDocument/2006/docPropsVTypes"/>
  </property>
</Properties>
</file>