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codeName="ThisWorkbook" defaultThemeVersion="124226"/>
  <mc:AlternateContent xmlns:mc="http://schemas.openxmlformats.org/markup-compatibility/2006">
    <mc:Choice Requires="x15">
      <x15ac:absPath xmlns:x15ac="http://schemas.microsoft.com/office/spreadsheetml/2010/11/ac" url="C:\Users\cpreephim\Desktop\Test\"/>
    </mc:Choice>
  </mc:AlternateContent>
  <xr:revisionPtr revIDLastSave="0" documentId="8_{B260C473-5900-42D4-BDF0-BEBBF6CA4397}" xr6:coauthVersionLast="47" xr6:coauthVersionMax="47" xr10:uidLastSave="{00000000-0000-0000-0000-000000000000}"/>
  <bookViews>
    <workbookView xWindow="-120" yWindow="-120" windowWidth="29040" windowHeight="15720" tabRatio="539" xr2:uid="{00000000-000D-0000-FFFF-FFFF00000000}"/>
  </bookViews>
  <sheets>
    <sheet name="new machines" sheetId="1" r:id="rId1"/>
  </sheets>
  <definedNames>
    <definedName name="_xlnm._FilterDatabase" localSheetId="0" hidden="1">'new machines'!$E$8:$H$124</definedName>
    <definedName name="Planned">'new machines'!$H$3:$H$5</definedName>
    <definedName name="_xlnm.Print_Area" localSheetId="0">'new machines'!$A$1:$DR$128</definedName>
    <definedName name="_xlnm.Print_Titles" localSheetId="0">'new machines'!$1:$8</definedName>
    <definedName name="statua">'new machines'!$H$2:$H$5</definedName>
    <definedName name="status">'new machines'!$H$2:$H$5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1" i="1" l="1"/>
  <c r="K77" i="1"/>
  <c r="J77" i="1"/>
  <c r="I77" i="1"/>
  <c r="G72" i="1"/>
  <c r="G66" i="1"/>
  <c r="K62" i="1"/>
  <c r="J62" i="1"/>
  <c r="I62" i="1"/>
  <c r="I44" i="1"/>
  <c r="J44" i="1"/>
  <c r="K44" i="1"/>
  <c r="G49" i="1"/>
  <c r="G29" i="1"/>
  <c r="I10" i="1"/>
  <c r="G115" i="1" l="1"/>
  <c r="F214" i="1" l="1"/>
  <c r="F213" i="1"/>
  <c r="F212" i="1"/>
  <c r="F211" i="1"/>
  <c r="F210" i="1"/>
  <c r="F209" i="1"/>
  <c r="G105" i="1"/>
  <c r="K101" i="1"/>
  <c r="J101" i="1"/>
  <c r="I101" i="1"/>
  <c r="G96" i="1"/>
  <c r="G57" i="1"/>
  <c r="G90" i="1"/>
  <c r="K86" i="1"/>
  <c r="J86" i="1"/>
  <c r="I86" i="1"/>
  <c r="G39" i="1"/>
  <c r="K34" i="1"/>
  <c r="J34" i="1"/>
  <c r="I34" i="1"/>
  <c r="G14" i="1"/>
  <c r="K10" i="1"/>
  <c r="J10" i="1"/>
  <c r="F215" i="1" l="1"/>
  <c r="I130" i="1"/>
  <c r="J130" i="1"/>
  <c r="K130" i="1"/>
  <c r="I131" i="1" l="1"/>
</calcChain>
</file>

<file path=xl/sharedStrings.xml><?xml version="1.0" encoding="utf-8"?>
<sst xmlns="http://schemas.openxmlformats.org/spreadsheetml/2006/main" count="1623" uniqueCount="598">
  <si>
    <t>Planned</t>
  </si>
  <si>
    <t>Delay</t>
  </si>
  <si>
    <t>Comment</t>
  </si>
  <si>
    <t>September</t>
  </si>
  <si>
    <t>October</t>
  </si>
  <si>
    <t>November</t>
  </si>
  <si>
    <t>December</t>
  </si>
  <si>
    <t>Done</t>
  </si>
  <si>
    <t>March</t>
  </si>
  <si>
    <t>April</t>
  </si>
  <si>
    <t>May</t>
  </si>
  <si>
    <t>June</t>
  </si>
  <si>
    <t>July</t>
  </si>
  <si>
    <t>August</t>
  </si>
  <si>
    <t>FAT</t>
  </si>
  <si>
    <t>Actual</t>
  </si>
  <si>
    <t>TH/ GER</t>
  </si>
  <si>
    <t>Q1</t>
  </si>
  <si>
    <t>Project</t>
  </si>
  <si>
    <t>Q2</t>
  </si>
  <si>
    <t>Q3</t>
  </si>
  <si>
    <t>Q4</t>
  </si>
  <si>
    <t>January</t>
  </si>
  <si>
    <t>Mladen</t>
  </si>
  <si>
    <t>QG5</t>
  </si>
  <si>
    <t>QG4</t>
  </si>
  <si>
    <t>QG3</t>
  </si>
  <si>
    <t>QG2</t>
  </si>
  <si>
    <t>QG1</t>
  </si>
  <si>
    <t>QG1&amp;2</t>
  </si>
  <si>
    <t>QG6</t>
  </si>
  <si>
    <t>Milestones</t>
  </si>
  <si>
    <t>F</t>
  </si>
  <si>
    <t xml:space="preserve">History: </t>
  </si>
  <si>
    <t>S</t>
  </si>
  <si>
    <t>L</t>
  </si>
  <si>
    <t>TM</t>
  </si>
  <si>
    <t>B</t>
  </si>
  <si>
    <t>D</t>
  </si>
  <si>
    <t>Payment</t>
  </si>
  <si>
    <t>QG status</t>
  </si>
  <si>
    <t>PO</t>
  </si>
  <si>
    <t>SAT</t>
  </si>
  <si>
    <t>L,F</t>
  </si>
  <si>
    <t>i30%</t>
  </si>
  <si>
    <t>i10%</t>
  </si>
  <si>
    <t>i50%</t>
  </si>
  <si>
    <t>QG = Quality Gate</t>
  </si>
  <si>
    <t xml:space="preserve">MILESTONES: </t>
  </si>
  <si>
    <t xml:space="preserve">QG STATUS: </t>
  </si>
  <si>
    <t>SW = software</t>
  </si>
  <si>
    <t xml:space="preserve">PAYMENT: </t>
  </si>
  <si>
    <t>SW</t>
  </si>
  <si>
    <t>i70%</t>
  </si>
  <si>
    <t>p30%</t>
  </si>
  <si>
    <t>p10%</t>
  </si>
  <si>
    <t>S = Samples</t>
  </si>
  <si>
    <t>F = Format confirmation</t>
  </si>
  <si>
    <t xml:space="preserve">TM = Testing Material </t>
  </si>
  <si>
    <t>B = Bulk</t>
  </si>
  <si>
    <t xml:space="preserve">D = Embosing Digits </t>
  </si>
  <si>
    <t>O</t>
  </si>
  <si>
    <t>O = Option Design</t>
  </si>
  <si>
    <t>FP = Format Parts Design</t>
  </si>
  <si>
    <t>SO</t>
  </si>
  <si>
    <t>FP</t>
  </si>
  <si>
    <t>Design</t>
  </si>
  <si>
    <t>DESIGN:</t>
  </si>
  <si>
    <t>p20%</t>
  </si>
  <si>
    <t>p70%</t>
  </si>
  <si>
    <t>p40%</t>
  </si>
  <si>
    <t>p50%</t>
  </si>
  <si>
    <t>i20%</t>
  </si>
  <si>
    <t>P</t>
  </si>
  <si>
    <t>P = Pneumatic diagram</t>
  </si>
  <si>
    <t>W = wiring</t>
  </si>
  <si>
    <t>W</t>
  </si>
  <si>
    <t>Karan</t>
  </si>
  <si>
    <t>SAT?</t>
  </si>
  <si>
    <t>DR</t>
  </si>
  <si>
    <t>Value</t>
  </si>
  <si>
    <t xml:space="preserve">Add-on </t>
  </si>
  <si>
    <t>FR</t>
  </si>
  <si>
    <t>FR = Format Review</t>
  </si>
  <si>
    <t>i25%</t>
  </si>
  <si>
    <t>p25%</t>
  </si>
  <si>
    <t>QG3-1</t>
  </si>
  <si>
    <t>QG3-2</t>
  </si>
  <si>
    <t>PO?</t>
  </si>
  <si>
    <t>QG4-1</t>
  </si>
  <si>
    <t>QG4-2</t>
  </si>
  <si>
    <t>Qto</t>
  </si>
  <si>
    <t>WTc</t>
  </si>
  <si>
    <t>Natnararat</t>
  </si>
  <si>
    <t>Stefanie</t>
  </si>
  <si>
    <t>B = basic machine BOM</t>
  </si>
  <si>
    <t>FAT protocol</t>
  </si>
  <si>
    <t>contract</t>
  </si>
  <si>
    <t>Chettapong</t>
  </si>
  <si>
    <t>PM/Sale/ Project owner /Status</t>
  </si>
  <si>
    <t>IFs</t>
  </si>
  <si>
    <t>IFd</t>
  </si>
  <si>
    <t>IP</t>
  </si>
  <si>
    <t>IFd = Internal FAT dynamic</t>
  </si>
  <si>
    <t>IFs = Internal FAT static</t>
  </si>
  <si>
    <t>Status</t>
  </si>
  <si>
    <t>BG</t>
  </si>
  <si>
    <t>pump spec</t>
  </si>
  <si>
    <t>DRi</t>
  </si>
  <si>
    <t>I&amp;C</t>
  </si>
  <si>
    <t>summery parts return to store</t>
  </si>
  <si>
    <t>BSRA</t>
  </si>
  <si>
    <t>Sale / PE</t>
  </si>
  <si>
    <t>DAP</t>
  </si>
  <si>
    <t xml:space="preserve">IP = IP adresses </t>
  </si>
  <si>
    <t>BG = Bank Guarantee</t>
  </si>
  <si>
    <t>LC = Letter of Credit</t>
  </si>
  <si>
    <t>BSRA(D)</t>
  </si>
  <si>
    <t>BSRA(end)</t>
  </si>
  <si>
    <t>SAP format marking</t>
  </si>
  <si>
    <t xml:space="preserve">PEC = Project Effort Control </t>
  </si>
  <si>
    <t>PEC</t>
  </si>
  <si>
    <t>IQ,OQ</t>
  </si>
  <si>
    <t>format range checked (owner, anuwat, Prasert, PM)</t>
  </si>
  <si>
    <t>IFd(F1)</t>
  </si>
  <si>
    <t>p15%</t>
  </si>
  <si>
    <t>i15%</t>
  </si>
  <si>
    <t>IFd(F3)</t>
  </si>
  <si>
    <t>IFd(F2)</t>
  </si>
  <si>
    <t>Q (quality)</t>
  </si>
  <si>
    <t>C (cost)</t>
  </si>
  <si>
    <t>SO,W</t>
  </si>
  <si>
    <t>February</t>
  </si>
  <si>
    <t xml:space="preserve">I&amp;C = Instalttion and comitioning </t>
  </si>
  <si>
    <t>FAT = Factory acceptance test</t>
  </si>
  <si>
    <t>SAT = Site acceptance test</t>
  </si>
  <si>
    <t>WTr = Wear&amp;Tear recommend</t>
  </si>
  <si>
    <t>WTc = Wear&amp;Tear confirmation</t>
  </si>
  <si>
    <t>PM-A</t>
  </si>
  <si>
    <t xml:space="preserve">PM-A = PM handover to Aftersales </t>
  </si>
  <si>
    <t>BSRA = Build Safety Risk Assessment</t>
  </si>
  <si>
    <t>SO = Special Option Design (6 digit in OC)</t>
  </si>
  <si>
    <t>ND = new development</t>
  </si>
  <si>
    <t>FD = function desctiption</t>
  </si>
  <si>
    <t>ND</t>
  </si>
  <si>
    <t>FD</t>
  </si>
  <si>
    <t>LC</t>
  </si>
  <si>
    <t xml:space="preserve">PO = purchase order </t>
  </si>
  <si>
    <t>P = Packing</t>
  </si>
  <si>
    <t xml:space="preserve">L = Loading </t>
  </si>
  <si>
    <t xml:space="preserve">ETD = estimate time delivery </t>
  </si>
  <si>
    <t>ETA = estimate time arrival</t>
  </si>
  <si>
    <t>ETD</t>
  </si>
  <si>
    <t>ETA</t>
  </si>
  <si>
    <t>LC (in FAT acceptance)</t>
  </si>
  <si>
    <t xml:space="preserve">IQ = Installation Qualification  </t>
  </si>
  <si>
    <t xml:space="preserve">OQ = Operation Qualification  </t>
  </si>
  <si>
    <t>D (Delivery)</t>
  </si>
  <si>
    <t>qw</t>
  </si>
  <si>
    <t>product spec</t>
  </si>
  <si>
    <t>P,L</t>
  </si>
  <si>
    <t>list of parts for calibration certificat</t>
  </si>
  <si>
    <t>D,M</t>
  </si>
  <si>
    <r>
      <rPr>
        <b/>
        <sz val="11"/>
        <color rgb="FFFF0000"/>
        <rFont val="Arial"/>
        <family val="2"/>
      </rPr>
      <t xml:space="preserve">M </t>
    </r>
    <r>
      <rPr>
        <b/>
        <sz val="11"/>
        <rFont val="Arial"/>
        <family val="2"/>
      </rPr>
      <t>= material above project budget</t>
    </r>
  </si>
  <si>
    <r>
      <rPr>
        <b/>
        <sz val="11"/>
        <color rgb="FF00B050"/>
        <rFont val="Arial"/>
        <family val="2"/>
      </rPr>
      <t>P</t>
    </r>
    <r>
      <rPr>
        <b/>
        <sz val="11"/>
        <rFont val="Arial"/>
        <family val="2"/>
      </rPr>
      <t xml:space="preserve"> = programming under project budger</t>
    </r>
  </si>
  <si>
    <r>
      <rPr>
        <b/>
        <sz val="11"/>
        <color rgb="FFFF0000"/>
        <rFont val="Arial"/>
        <family val="2"/>
      </rPr>
      <t xml:space="preserve">P </t>
    </r>
    <r>
      <rPr>
        <b/>
        <sz val="11"/>
        <rFont val="Arial"/>
        <family val="2"/>
      </rPr>
      <t>= programming above project budget</t>
    </r>
  </si>
  <si>
    <r>
      <rPr>
        <b/>
        <sz val="11"/>
        <color rgb="FFFF0000"/>
        <rFont val="Arial"/>
        <family val="2"/>
      </rPr>
      <t xml:space="preserve">D </t>
    </r>
    <r>
      <rPr>
        <b/>
        <sz val="11"/>
        <rFont val="Arial"/>
        <family val="2"/>
      </rPr>
      <t>= desing above project budget</t>
    </r>
  </si>
  <si>
    <r>
      <rPr>
        <b/>
        <sz val="11"/>
        <color rgb="FFFF0000"/>
        <rFont val="Arial"/>
        <family val="2"/>
      </rPr>
      <t xml:space="preserve">A </t>
    </r>
    <r>
      <rPr>
        <b/>
        <sz val="11"/>
        <rFont val="Arial"/>
        <family val="2"/>
      </rPr>
      <t>= assambly above project budget</t>
    </r>
  </si>
  <si>
    <r>
      <rPr>
        <b/>
        <sz val="11"/>
        <color rgb="FF00B050"/>
        <rFont val="Arial"/>
        <family val="2"/>
      </rPr>
      <t>M</t>
    </r>
    <r>
      <rPr>
        <b/>
        <sz val="11"/>
        <rFont val="Arial"/>
        <family val="2"/>
      </rPr>
      <t xml:space="preserve"> = material under project budger</t>
    </r>
  </si>
  <si>
    <r>
      <rPr>
        <b/>
        <sz val="11"/>
        <color rgb="FF00B050"/>
        <rFont val="Arial"/>
        <family val="2"/>
      </rPr>
      <t>A</t>
    </r>
    <r>
      <rPr>
        <b/>
        <sz val="11"/>
        <rFont val="Arial"/>
        <family val="2"/>
      </rPr>
      <t xml:space="preserve"> = assambly under project budger</t>
    </r>
  </si>
  <si>
    <r>
      <rPr>
        <b/>
        <sz val="11"/>
        <color rgb="FF00B050"/>
        <rFont val="Arial"/>
        <family val="2"/>
      </rPr>
      <t>D</t>
    </r>
    <r>
      <rPr>
        <b/>
        <sz val="11"/>
        <rFont val="Arial"/>
        <family val="2"/>
      </rPr>
      <t xml:space="preserve"> = desing under project budger</t>
    </r>
  </si>
  <si>
    <t>D,M,A,P</t>
  </si>
  <si>
    <t>canceled</t>
  </si>
  <si>
    <t>Q (quality):</t>
  </si>
  <si>
    <t>C (cost):</t>
  </si>
  <si>
    <t xml:space="preserve">D (delivery): </t>
  </si>
  <si>
    <t>Target</t>
  </si>
  <si>
    <t>door to door</t>
  </si>
  <si>
    <t>B,O</t>
  </si>
  <si>
    <t>door to door latest by March (receive at site September, 2021)</t>
  </si>
  <si>
    <t>FY2026</t>
  </si>
  <si>
    <t>Calendar year 2025</t>
  </si>
  <si>
    <t>Noise level measurement with certificate</t>
  </si>
  <si>
    <t>QG5-2</t>
  </si>
  <si>
    <t>QG5-1</t>
  </si>
  <si>
    <t>Nihar / Raghu</t>
  </si>
  <si>
    <t>Patinya / Saksit</t>
  </si>
  <si>
    <t>calibration certificat prepared</t>
  </si>
  <si>
    <t>PM e-mail Acounting, no more expenses on project (over 400000Euro)</t>
  </si>
  <si>
    <t>TZF (hopper down, 20' container)</t>
  </si>
  <si>
    <t xml:space="preserve">Power and Air supply details sheet with location on machine </t>
  </si>
  <si>
    <r>
      <t>D,M,</t>
    </r>
    <r>
      <rPr>
        <b/>
        <sz val="9"/>
        <color rgb="FFFF0000"/>
        <rFont val="Arial"/>
        <family val="2"/>
      </rPr>
      <t>A</t>
    </r>
    <r>
      <rPr>
        <b/>
        <sz val="9"/>
        <color rgb="FF00B050"/>
        <rFont val="Arial"/>
        <family val="2"/>
      </rPr>
      <t>,P</t>
    </r>
  </si>
  <si>
    <t>DQ</t>
  </si>
  <si>
    <t>Lp</t>
  </si>
  <si>
    <t>Fp</t>
  </si>
  <si>
    <t>Lp= Layout prepared</t>
  </si>
  <si>
    <t>Fp = format drawings prepared</t>
  </si>
  <si>
    <t xml:space="preserve">PM e-mail Acounting, no more expenses on project </t>
  </si>
  <si>
    <t>W,SO</t>
  </si>
  <si>
    <t xml:space="preserve">Communication Chanel sheet </t>
  </si>
  <si>
    <t>warranty starts</t>
  </si>
  <si>
    <r>
      <rPr>
        <b/>
        <sz val="9"/>
        <color rgb="FFFF0000"/>
        <rFont val="Arial"/>
        <family val="2"/>
      </rPr>
      <t>D</t>
    </r>
    <r>
      <rPr>
        <b/>
        <sz val="9"/>
        <color rgb="FF00B050"/>
        <rFont val="Arial"/>
        <family val="2"/>
      </rPr>
      <t>,M,A,P</t>
    </r>
  </si>
  <si>
    <t xml:space="preserve">delivery shifting? </t>
  </si>
  <si>
    <t>pack with machine 3 samples that we run on machine during FAT</t>
  </si>
  <si>
    <t>Designer / Programmer</t>
  </si>
  <si>
    <t>CW11: DRAFT</t>
  </si>
  <si>
    <t>final format overview</t>
  </si>
  <si>
    <t>Adisorn</t>
  </si>
  <si>
    <t>L = Layout confirmation</t>
  </si>
  <si>
    <t>QG = Quality Gate on time / not passed with reason</t>
  </si>
  <si>
    <t>FAT = Factory acceptance test on time / not passed</t>
  </si>
  <si>
    <t>i% = Invoice</t>
  </si>
  <si>
    <t>p% = Payment</t>
  </si>
  <si>
    <t>A/B/C</t>
  </si>
  <si>
    <t>A</t>
  </si>
  <si>
    <t>TM(for OEM)</t>
  </si>
  <si>
    <t>L,ETD</t>
  </si>
  <si>
    <t>QG3?</t>
  </si>
  <si>
    <t>S(for OEM)</t>
  </si>
  <si>
    <t>FAT?</t>
  </si>
  <si>
    <t>QG4-3</t>
  </si>
  <si>
    <t>e-mail / VPT aftersales support</t>
  </si>
  <si>
    <t>C</t>
  </si>
  <si>
    <t>Siva (Patinya)</t>
  </si>
  <si>
    <t>QG1?</t>
  </si>
  <si>
    <t>QG2?</t>
  </si>
  <si>
    <t>QG4?</t>
  </si>
  <si>
    <t>QG5?</t>
  </si>
  <si>
    <t xml:space="preserve">QG6? </t>
  </si>
  <si>
    <r>
      <rPr>
        <b/>
        <sz val="9"/>
        <color rgb="FFFF0000"/>
        <rFont val="Arial"/>
        <family val="2"/>
      </rPr>
      <t>D</t>
    </r>
    <r>
      <rPr>
        <b/>
        <sz val="9"/>
        <color rgb="FF00B050"/>
        <rFont val="Arial"/>
        <family val="2"/>
      </rPr>
      <t>,M,</t>
    </r>
    <r>
      <rPr>
        <b/>
        <sz val="9"/>
        <color rgb="FFFF0000"/>
        <rFont val="Arial"/>
        <family val="2"/>
      </rPr>
      <t>A</t>
    </r>
    <r>
      <rPr>
        <b/>
        <sz val="9"/>
        <color rgb="FF00B050"/>
        <rFont val="Arial"/>
        <family val="2"/>
      </rPr>
      <t>,P</t>
    </r>
  </si>
  <si>
    <t>traiding goods(sample , lead time, testing mateiral, 3D)</t>
  </si>
  <si>
    <t>3D(from OEM)</t>
  </si>
  <si>
    <t>QG5-3</t>
  </si>
  <si>
    <t>PM to confirm to Ratthana when calibration certificat company to come to IWK</t>
  </si>
  <si>
    <t>if we have ink-jet need to order one more cartrige to be shipped with machine</t>
  </si>
  <si>
    <t>need to send one more cartrige in ink jet in scope</t>
  </si>
  <si>
    <t>1112k</t>
  </si>
  <si>
    <t>Payment (Add on)</t>
  </si>
  <si>
    <t>Delivery (Add on)</t>
  </si>
  <si>
    <t>FY2027</t>
  </si>
  <si>
    <t>On hold</t>
  </si>
  <si>
    <r>
      <rPr>
        <b/>
        <sz val="9"/>
        <color rgb="FFFF0000"/>
        <rFont val="Arial"/>
        <family val="2"/>
      </rPr>
      <t>D</t>
    </r>
    <r>
      <rPr>
        <b/>
        <sz val="9"/>
        <color rgb="FF00B050"/>
        <rFont val="Arial"/>
        <family val="2"/>
      </rPr>
      <t>,M,</t>
    </r>
    <r>
      <rPr>
        <b/>
        <sz val="9"/>
        <color rgb="FFFF0000"/>
        <rFont val="Arial"/>
        <family val="2"/>
      </rPr>
      <t>A,P</t>
    </r>
  </si>
  <si>
    <t>Cosmed plans to make the next payment on SEP 30th</t>
  </si>
  <si>
    <t>Adisorn and Stefanie will check how many we need to setting 2 machine ( we have 13000 tubes)</t>
  </si>
  <si>
    <t xml:space="preserve">September </t>
  </si>
  <si>
    <t>Calendar year 2026</t>
  </si>
  <si>
    <t>if PO-VPT but instation done by Thailand, after instalation handover to VPT aftersales (PM Thai, PM VPT, Sarit, Alexsandre)</t>
  </si>
  <si>
    <t>warranty starts (warranty is 12 months or 2000 operation housr, depend on which occure firest. Warranty valid starting after SAT but not latter then 90 days after FAT)</t>
  </si>
  <si>
    <t>3D</t>
  </si>
  <si>
    <t>Planed Margine %</t>
  </si>
  <si>
    <t>Actual Margine %</t>
  </si>
  <si>
    <t>clarify all for ordering remaining 3 units +4 +4 = 11 units</t>
  </si>
  <si>
    <t>L,ETA</t>
  </si>
  <si>
    <t>Integration of carton data matrix code check with
camera Make Cognex</t>
  </si>
  <si>
    <t>SAT protocol</t>
  </si>
  <si>
    <t>machine to operate cartons
with a 4th flap (Hanger flap)</t>
  </si>
  <si>
    <t xml:space="preserve">Integration of an Ink-Jet unit </t>
  </si>
  <si>
    <t>Integration of carton data matrix code check with 
camera Make Cognex</t>
  </si>
  <si>
    <t>Pressure gauge calibration certification</t>
  </si>
  <si>
    <t>WTr=15000Euro - 18%</t>
  </si>
  <si>
    <t>WTr=6000Euro - 18%</t>
  </si>
  <si>
    <t xml:space="preserve">Fault assistance integrated in machine visualization </t>
  </si>
  <si>
    <t>B, O, Lp</t>
  </si>
  <si>
    <t>check with Joel about long lead time parts fist unit condom feeder</t>
  </si>
  <si>
    <t xml:space="preserve">S,Communication Chanel sheet </t>
  </si>
  <si>
    <r>
      <t xml:space="preserve">B, O, </t>
    </r>
    <r>
      <rPr>
        <sz val="8"/>
        <color rgb="FFFF0000"/>
        <rFont val="Arial"/>
        <family val="2"/>
      </rPr>
      <t>Lp</t>
    </r>
  </si>
  <si>
    <t>QG3-3</t>
  </si>
  <si>
    <t>QG3-1 = SC5; 
QG3-2 = condom feeders
QG3-3 = first unit for test (condom feeder)</t>
  </si>
  <si>
    <t>SW (first unit)</t>
  </si>
  <si>
    <t>TM(for first unit)</t>
  </si>
  <si>
    <t>test 30 min</t>
  </si>
  <si>
    <t>test</t>
  </si>
  <si>
    <t xml:space="preserve">QG4(project was not prioritiezed by purchase because is intenal project) </t>
  </si>
  <si>
    <t>TM (utilize internal)</t>
  </si>
  <si>
    <t>receive from customer inkjet and camera</t>
  </si>
  <si>
    <t xml:space="preserve">QG3-1 = SC5; 
QG3-2 = condom feeders
</t>
  </si>
  <si>
    <r>
      <t>(credit term 30 days)</t>
    </r>
    <r>
      <rPr>
        <b/>
        <sz val="9"/>
        <color rgb="FF00B050"/>
        <rFont val="Arial"/>
        <family val="2"/>
      </rPr>
      <t xml:space="preserve"> P1=20%; P2=20%</t>
    </r>
    <r>
      <rPr>
        <b/>
        <sz val="9"/>
        <color rgb="FF0055FE"/>
        <rFont val="Arial"/>
        <family val="2"/>
      </rPr>
      <t>;</t>
    </r>
    <r>
      <rPr>
        <b/>
        <sz val="9"/>
        <rFont val="Arial"/>
        <family val="2"/>
      </rPr>
      <t xml:space="preserve"> P3=20%; P4=20%; P5=20%;  </t>
    </r>
  </si>
  <si>
    <t>pending payment 278200THB+278200THB+1112800THB</t>
  </si>
  <si>
    <t>Lucian+Rodrigo / Saksit</t>
  </si>
  <si>
    <t>FAT in CW32/2026 Delivery end of August 2026 ( CW36/2026 ) Installation / Commissioning after delivery SAT at the latest in CW 38/2026</t>
  </si>
  <si>
    <t>WTr=8700€ - 6%</t>
  </si>
  <si>
    <t>Delivery end of August 2026 ( CW36/2026 ) Installation / Commissioning after delivery SAT at the latest in CW 38/2026</t>
  </si>
  <si>
    <t>Pre-Assembly Finish - CW50</t>
  </si>
  <si>
    <t>Final assembly start - CW52 (before Holidays)</t>
  </si>
  <si>
    <t>S, 3D inkjet and camera</t>
  </si>
  <si>
    <t>TEST</t>
  </si>
  <si>
    <r>
      <t>W,</t>
    </r>
    <r>
      <rPr>
        <sz val="8"/>
        <color rgb="FFFF0000"/>
        <rFont val="Arial"/>
        <family val="2"/>
      </rPr>
      <t xml:space="preserve"> SO, Fp</t>
    </r>
  </si>
  <si>
    <t>just ordered on 25.11. (planning)</t>
  </si>
  <si>
    <t xml:space="preserve">S,3D inkjet and camera </t>
  </si>
  <si>
    <t xml:space="preserve"> Fp</t>
  </si>
  <si>
    <t>QG3-1(no format confirmation)</t>
  </si>
  <si>
    <r>
      <t xml:space="preserve">56060_Henkel Maribor_SI_VI5X
</t>
    </r>
    <r>
      <rPr>
        <sz val="10"/>
        <rFont val="Arial"/>
        <family val="2"/>
      </rPr>
      <t>FAT in VPT</t>
    </r>
  </si>
  <si>
    <r>
      <t xml:space="preserve">56060_Henkel Maribor_SI_VI5X
</t>
    </r>
    <r>
      <rPr>
        <sz val="10"/>
        <rFont val="Arial"/>
        <family val="2"/>
      </rPr>
      <t>delivery by AIR</t>
    </r>
  </si>
  <si>
    <t xml:space="preserve">LD clause </t>
  </si>
  <si>
    <t>DAP Maribor, AIR delivery</t>
  </si>
  <si>
    <t>QG3-3 (design to release all on 14.11.) but all released on 25.11.</t>
  </si>
  <si>
    <t xml:space="preserve">10 months FAT from the date of PO (4.12.2025.) </t>
  </si>
  <si>
    <t>L.D. Clase: In the event of a delay in delivery for which Supplier is solely responsible &amp; following a grace period of 1.5 weeks, the Purchaser is entitled to claim liquidated damages of 0.5% of the net price of
the delayed part of the Equipment per full week of delay, up to a maximum of 5% of the net value of the delayed part of the Equipmen</t>
  </si>
  <si>
    <t>CIF Chennai</t>
  </si>
  <si>
    <t>PO;i40%</t>
  </si>
  <si>
    <t>FD(Pusher Arm For Multi Vial insertion to Carton (5*2) in SC5)</t>
  </si>
  <si>
    <t>Raghu Sample (need to check with Raghu which samples we received (vial=7 formats, booklet=all sizes, carton= ???sizes); Format overview - Raghu need to calrify with customer; URS - during kick off with customer check to sign, Raghu to prepare diviation list from URS</t>
  </si>
  <si>
    <t>OEM (Linsapack and Rontech) need sample, testing material, timaline, 3D</t>
  </si>
  <si>
    <t>QG1 (Format overview - Raghu need to calrify with customer; URS - during kick off with customer check to sign, Raghu to prepare diviation list from URS)</t>
  </si>
  <si>
    <t>L,F,D</t>
  </si>
  <si>
    <t>F(F3)</t>
  </si>
  <si>
    <t>F(F1, F2, F4, F5)</t>
  </si>
  <si>
    <t xml:space="preserve">B, release Kraus (booklet feeder) </t>
  </si>
  <si>
    <t>QG3-1(format ocnfirmation, sample just received)</t>
  </si>
  <si>
    <r>
      <t xml:space="preserve">(credit term 30 days) </t>
    </r>
    <r>
      <rPr>
        <b/>
        <sz val="9"/>
        <color rgb="FF00B050"/>
        <rFont val="Arial"/>
        <family val="2"/>
      </rPr>
      <t xml:space="preserve">40% Adv upon order confirmation &amp; submission of Proforma Invoice; </t>
    </r>
    <r>
      <rPr>
        <b/>
        <sz val="9"/>
        <rFont val="Arial"/>
        <family val="2"/>
      </rPr>
      <t>50% Against successful FAT; 10% against I&amp;C and upon submission of PBG Valid for 12 months from the date of I&amp;C or 150 days from Bill of Lading, whichever is earlier. S/O: 6080056090</t>
    </r>
  </si>
  <si>
    <t xml:space="preserve">Integration of an Ink-Jet unit; Integration of a print control with camera; </t>
  </si>
  <si>
    <t>Ex-works IWK Thailand, i</t>
  </si>
  <si>
    <t>QG3 (I would like to request to postpone QG3 for 56061 Henkel VI5 from CW02 to CW05 (end of Jan).
At the QG2, I have underestimate for design hour and design capacity of this project.)</t>
  </si>
  <si>
    <t>QG3-1(format confirmation delayed to CW2)</t>
  </si>
  <si>
    <t>check with Joel about long lead time parts fist unit condom feeder = will be end of January (3 weeks delay)</t>
  </si>
  <si>
    <t>S (for Kraus) check how much TM thay need; S (for Linapack) check how much TM thay need</t>
  </si>
  <si>
    <t>conect to 55430_Galentic Pharma_IN_TZ101-FP46-2XL</t>
  </si>
  <si>
    <t>LOI</t>
  </si>
  <si>
    <t>FAT 6 month from PO</t>
  </si>
  <si>
    <t>QG1 (samples not available, no information for sample delivery)</t>
  </si>
  <si>
    <t>QG4-3 check with Joel about long lead time parts first unit condom feeder = will be end of January (3 weeks delay); QG3-1 (sample delayed 4 weeks, format drwing just sent and will be confirmed on CW3)\</t>
  </si>
  <si>
    <t>Integration of an Ink-Jet unit; Integration of a print control with camera ; Batch report changes will be done by VPT;Machine IPC upgrade with B&amp;R APC4100 for compatibility with RAID system</t>
  </si>
  <si>
    <t xml:space="preserve">FP(all tube holers) </t>
  </si>
  <si>
    <t>(credit term 30 days) 20% (DP); 70% payment by T/T after successful FAT &amp; before shipment of machine;  10% after successful installation and commissioning or 90 days from bill of lading whicheve earlier S/O:  6080055733</t>
  </si>
  <si>
    <t>SO; ND(top clooser, 68 stations,calculation for carton transport)</t>
  </si>
  <si>
    <t>URS for Linapack</t>
  </si>
  <si>
    <t>QG5(moved to proejct PT Maiyume_ID</t>
  </si>
  <si>
    <t>check with Joel after processing in SAP</t>
  </si>
  <si>
    <t>QG3(with customer need to discuss manual loading concept)</t>
  </si>
  <si>
    <r>
      <t xml:space="preserve">56060_Henkel Maribor_SI_VI5X
</t>
    </r>
    <r>
      <rPr>
        <sz val="10"/>
        <rFont val="Arial"/>
        <family val="2"/>
      </rPr>
      <t xml:space="preserve">concept for new program for manual loading </t>
    </r>
  </si>
  <si>
    <t xml:space="preserve"> 3D and wiring (Ink-Jet unit; print control camera,Kraus, Linapack)</t>
  </si>
  <si>
    <t xml:space="preserve">30% (DP) 30% (after FAT); 30% (after successful SAT, however, no later than 45 days after installation if main acceptance tests shouldbe delayed for reasons for which Henkel is responsible). 10% after expiry of the warranty period or with the final invoice against bank guarantee </t>
  </si>
  <si>
    <t xml:space="preserve">QG4-3 </t>
  </si>
  <si>
    <t>QG4-1(basic and option not in house); QG4-3 (basic and option not in house)</t>
  </si>
  <si>
    <t>request 50 tubes of metal tubes for test tube holder</t>
  </si>
  <si>
    <t xml:space="preserve"> 3D and wiring ( Linapack)</t>
  </si>
  <si>
    <t xml:space="preserve"> 3D and wiring (Kraus); sugested 4 formats for FAT, customer to confirm</t>
  </si>
  <si>
    <t>QG4-1 (basic not in house)</t>
  </si>
  <si>
    <t>P; list of parts for calibration certificat</t>
  </si>
  <si>
    <t xml:space="preserve">DQ </t>
  </si>
  <si>
    <t>on hold until FAT of 55670 on CW9</t>
  </si>
  <si>
    <t>SO,W,ND(Pusher Arm For Multi Vial insertion to Carton (5*2) in SC5)</t>
  </si>
  <si>
    <t>PO for Linapack</t>
  </si>
  <si>
    <r>
      <t xml:space="preserve">(credit term 90 days) </t>
    </r>
    <r>
      <rPr>
        <b/>
        <sz val="9"/>
        <color rgb="FF00B050"/>
        <rFont val="Arial"/>
        <family val="2"/>
      </rPr>
      <t>30% (DP+Bank Guarntee);</t>
    </r>
    <r>
      <rPr>
        <b/>
        <sz val="9"/>
        <rFont val="Arial"/>
        <family val="2"/>
      </rPr>
      <t xml:space="preserve"> 30% (after sucessefull FAT and bank Gurantie); 25% after successful delivery); 15% (after SAT and presentation of a Warranty Guarantee)  </t>
    </r>
  </si>
  <si>
    <t>Project phase</t>
  </si>
  <si>
    <t>Setting phase</t>
  </si>
  <si>
    <t>Purchase phase</t>
  </si>
  <si>
    <t>Delivery</t>
  </si>
  <si>
    <t>p(278k)</t>
  </si>
  <si>
    <t>2 options (continues mode, speed 30-50 (operator can miss); cartons stop at each position to allow product loading speed and OEE may be lower or unstable</t>
  </si>
  <si>
    <r>
      <t>(credit term 90 days)</t>
    </r>
    <r>
      <rPr>
        <b/>
        <sz val="9"/>
        <color rgb="FF00B050"/>
        <rFont val="Arial"/>
        <family val="2"/>
      </rPr>
      <t xml:space="preserve"> 30% (DP+Bank Guarntee)</t>
    </r>
    <r>
      <rPr>
        <b/>
        <sz val="9"/>
        <rFont val="Arial"/>
        <family val="2"/>
      </rPr>
      <t>; 30% (after sucessefull FAT and bank Gurantie); 25% after successful delivery); 15% (after SAT and presentation of a Warranty Guarantee)  S/O: 6080056040</t>
    </r>
  </si>
  <si>
    <t>DR; QG3</t>
  </si>
  <si>
    <t>S (customer will bring on CW9 during FAT)</t>
  </si>
  <si>
    <t>QG3 (we do not release before we get PO…PO expected after FAT of 55670 on CW9)</t>
  </si>
  <si>
    <t>QG3,DR</t>
  </si>
  <si>
    <t>QG4-1 (only one group - product chain (chain guide) will arrive on CW10)</t>
  </si>
  <si>
    <t xml:space="preserve"> 3D(Ink-Jet unit; print control with camera)…decide if they keep inkjet and camera from old project or they will send new one</t>
  </si>
  <si>
    <t>Test speed of F8 (5th flap) = speet 120</t>
  </si>
  <si>
    <t xml:space="preserve">FD (top clooser) Design confirmed no need </t>
  </si>
  <si>
    <t>test (30 min) on 20.2.</t>
  </si>
  <si>
    <t>QG3 (option not released; format not confirmed)</t>
  </si>
  <si>
    <t>AllPack exibition Indonesia 20-23.10.2026.</t>
  </si>
  <si>
    <t>same as Propak 2025. Just only the P&amp;P mechanism is same as Panasonic for easy convert to Panasonic 2nd machine.
And the exhibition format is not yet defined.</t>
  </si>
  <si>
    <t>Format to check with Apicaht, Wolfgan</t>
  </si>
  <si>
    <t>QG3-2 (test done earlier, we could move QG3-2 from CW12 to CW11)</t>
  </si>
  <si>
    <t>Apichat</t>
  </si>
  <si>
    <t xml:space="preserve">final format overview; mock up carton; </t>
  </si>
  <si>
    <t>if punching tool need to request about 500 tubes for test</t>
  </si>
  <si>
    <t>PO - with expected FAT in November</t>
  </si>
  <si>
    <t>Hemang will inform if PO will be on CW18 or earlier</t>
  </si>
  <si>
    <t>speed of 5th flap  During encube we could run 100-110/min (need to test on HC5 machine Galentic</t>
  </si>
  <si>
    <t>3D and wiring (Jekson Ink-Jet unit; print control camera)</t>
  </si>
  <si>
    <t>QG4 (options, and electric parts pending)</t>
  </si>
  <si>
    <t>QG3-2 (basic options not released)</t>
  </si>
  <si>
    <t>warranty starts (warranty is 12 months or 2000 operation hours, depend on which occur first. Warranty valid starting after SAT but not latter then 90 days after FAT)</t>
  </si>
  <si>
    <t xml:space="preserve">F (confirmed to go with existing format for tuth brush) If we will go with 4 lines, we will need to glue 8 lines of top carts as plates are with 12 lines. </t>
  </si>
  <si>
    <t xml:space="preserve">IWK desing will share simulation 11.3. by using Olivier parameter; </t>
  </si>
  <si>
    <r>
      <rPr>
        <sz val="8"/>
        <rFont val="Arial"/>
        <family val="2"/>
      </rPr>
      <t>FAT criteria (PM+design+production); ;</t>
    </r>
    <r>
      <rPr>
        <sz val="8"/>
        <color rgb="FFFF0000"/>
        <rFont val="Arial"/>
        <family val="2"/>
      </rPr>
      <t xml:space="preserve"> mock up carton; TM(for Kraus 200 booklets per format)</t>
    </r>
  </si>
  <si>
    <t>customer have in stock ready inkjet and camer but we donlt need now they can deliver after songkran</t>
  </si>
  <si>
    <t>QG4 (basic not in house; many added parts)</t>
  </si>
  <si>
    <t>QG4(option not in house)</t>
  </si>
  <si>
    <t>3D to be prepared by Annop, Henoch after to update wiring. BSRA</t>
  </si>
  <si>
    <t xml:space="preserve">QG5 (on CW13 agreed to move QG5 to CW21 due to delay parts and capacity) this proejct is note priority </t>
  </si>
  <si>
    <t>F,new BSRA</t>
  </si>
  <si>
    <r>
      <t xml:space="preserve">this machine will be for Panasonic so we will keep as previous mechine </t>
    </r>
    <r>
      <rPr>
        <sz val="8"/>
        <color rgb="FFFF0000"/>
        <rFont val="Arial"/>
        <family val="2"/>
      </rPr>
      <t xml:space="preserve">I wanted to let you know that Teerawat has entered and released the bill of materials for the machine in CSPB. Now that we've made the decision to replace the Festo drives with ILM drives, it's important that we proceed with equipping this machine with ILM drives and ensure that both the CAD files and SAP records are updated accordingly.
</t>
    </r>
  </si>
  <si>
    <t>Train</t>
  </si>
  <si>
    <t>QG5-1 (on CW13 we moved FAT from CW31 to CW36 due instlation moving from September 2026 to January 2027)</t>
  </si>
  <si>
    <t>FAT (on CW13 we moved FAT from CW31 to CW36 due instlation moving from September 2026 to January 2027)</t>
  </si>
  <si>
    <t>56091 Suebpong / Tharawin</t>
  </si>
  <si>
    <t>56151 Teerawat / Jidpanu</t>
  </si>
  <si>
    <t>56001 (SC5) Suebpong / Tharawin</t>
  </si>
  <si>
    <t>56002 (Feeder) Pakiani / Tharawin</t>
  </si>
  <si>
    <t>56041 (SC5) Suebpong / Tharawin</t>
  </si>
  <si>
    <t>56042 (Feeder) Pakiani / Tharawin</t>
  </si>
  <si>
    <t>56061 Teerasak / Wichawut</t>
  </si>
  <si>
    <t>56121 Pongsapak / Henoch</t>
  </si>
  <si>
    <t>55733 (HC5) Wimala / Tharawin</t>
  </si>
  <si>
    <t>PM e-mail Acounting, no more expenses on project</t>
  </si>
  <si>
    <t>receive from customer inkjet and camera; customer want to move instaltion from September to January, IWK to evaluate if FAT shold staty same or we need to move</t>
  </si>
  <si>
    <t>Operating manual into the Slovenian language (actual costs or the translation are exceeding the planned &amp; sold costs for this item. As you can see below. i added 146,000 (4000 euro) to special costs )</t>
  </si>
  <si>
    <r>
      <t xml:space="preserve">56060_Henkel Maribor_SI_VI5X
</t>
    </r>
    <r>
      <rPr>
        <sz val="10"/>
        <rFont val="Arial"/>
        <family val="2"/>
      </rPr>
      <t xml:space="preserve">additional emergancy; Manual infeed mode and Insertion Assistance Toolkits </t>
    </r>
  </si>
  <si>
    <t>QG5-1(capacity issue, SW)</t>
  </si>
  <si>
    <t>QG4 (meny additional parts, seted priority part for CW15)</t>
  </si>
  <si>
    <t>TM (only vials 7 sizes for Linapack)</t>
  </si>
  <si>
    <t>TM(booklet) mock  up carton</t>
  </si>
  <si>
    <t xml:space="preserve">TM (customer will send on 24.3. expect on 27.3. mock up carton; booklet for kraus and vials for linapck)  ; WTr 16170 Euro - % = 11480.70 Euro; </t>
  </si>
  <si>
    <t xml:space="preserve">WTr 16170 Euro - % = 11480.70 Euro; </t>
  </si>
  <si>
    <t>For every machine, when the customer order Fault Assistance will be prepared after FAT</t>
  </si>
  <si>
    <t>FP (need to modify)</t>
  </si>
  <si>
    <t xml:space="preserve">Georg = Regarding testing material, we have also some quantity in stock, we will check how much we need and let you know additional quantity we need from you. </t>
  </si>
  <si>
    <t>TM (for 3 formats=F1. F2, F5)</t>
  </si>
  <si>
    <r>
      <rPr>
        <b/>
        <sz val="9"/>
        <color rgb="FF00B050"/>
        <rFont val="Arial"/>
        <family val="2"/>
      </rPr>
      <t>30% (DP)</t>
    </r>
    <r>
      <rPr>
        <b/>
        <sz val="9"/>
        <rFont val="Arial"/>
        <family val="2"/>
      </rPr>
      <t xml:space="preserve"> 30% (after FAT); 30% (after successful SAT, however, no later than 45 days after installation if main acceptance tests shouldbe delayed for reasons for which Henkel is responsible). 10% after expiry of the warranty period or with the final invoice against bank guarantee </t>
    </r>
  </si>
  <si>
    <r>
      <rPr>
        <b/>
        <sz val="9"/>
        <color rgb="FFFF0000"/>
        <rFont val="Arial"/>
        <family val="2"/>
      </rPr>
      <t>D</t>
    </r>
    <r>
      <rPr>
        <b/>
        <sz val="9"/>
        <color rgb="FF00B050"/>
        <rFont val="Arial"/>
        <family val="2"/>
      </rPr>
      <t>,M</t>
    </r>
  </si>
  <si>
    <t>need to modify wear &amp; tear parts list</t>
  </si>
  <si>
    <t>carton transport parts pending (returned from QC)</t>
  </si>
  <si>
    <t xml:space="preserve"> customer did not send inkjet and camera…will be instaled during SAT</t>
  </si>
  <si>
    <t>TM (carton will arrive on CW19)</t>
  </si>
  <si>
    <t>TM (condom)</t>
  </si>
  <si>
    <t>QG4-2 (basic option pending)</t>
  </si>
  <si>
    <t>back up plan if this solutin for turn table not working; we need to check FAT date with Linapack. We need to check when we can have result form plan A…after we need to check how long we need to exacute plan B</t>
  </si>
  <si>
    <t>receive from customer (Ink-Jet unit; print control camera)</t>
  </si>
  <si>
    <t>FY2028</t>
  </si>
  <si>
    <t>Calendar year 2027</t>
  </si>
  <si>
    <t>TM (carton)</t>
  </si>
  <si>
    <t xml:space="preserve">during QG4-2 on CW20 we need to discuss plan for assembly and test of one condom feeder unit </t>
  </si>
  <si>
    <t>QG4(to follow on CW17 additionaly ordered parts for manual infeed area…we can pass on CW19)</t>
  </si>
  <si>
    <t>QG4-2 basic option not complete); QG5-1 (testing material = carton will receive on CW19 but it's not show stopper; format part pending)</t>
  </si>
  <si>
    <t>FP (missing parts for format parts that I told you in meeting. I just ordered: GN 2662090
4216868 = 1 pc.
GN 2662093
2701636 = 8 pcs.
7469 = 1 pc.
GN 2662098
2700218 = 2 pcs.
2700219 = 2 pcs.
4301257 = 1 pc.
GN 2662094
2700218 = 10 pcs.
2700219 = 10 pcs.
GN 2662547
4203023 = 6 pcs.)</t>
  </si>
  <si>
    <t>missing parts for format parts: GN 2662090
4216868 = 1 pc.
GN 2662093
2701636 = 8 pcs.
7469 = 1 pc.
GN 2662098
2700218 = 2 pcs.
2700219 = 2 pcs.
4301257 = 1 pc.
GN 2662094
2700218 = 10 pcs.
2700219 = 10 pcs.
GN 2662547
4203023 = 6 pcs.)</t>
  </si>
  <si>
    <t>George sent about 4000 blisteds and hood</t>
  </si>
  <si>
    <t>TM (from VPT)</t>
  </si>
  <si>
    <t>TM,need to modify wear &amp; tear parts list</t>
  </si>
  <si>
    <t>DQ customer want to combine for both (Karan will arange meeting)</t>
  </si>
  <si>
    <t>TM(booklet for Kraus) mock  up carton.; receive Kraus (booklet feeder)</t>
  </si>
  <si>
    <t xml:space="preserve">TM(booklet sample, mock  up carton=expect on 7.5.); </t>
  </si>
  <si>
    <t xml:space="preserve">QG5 moved from CW20 to CW27 due to capacity (not urgent project) </t>
  </si>
  <si>
    <t>FP (need to modify after visit from VPT for All pack exibition)</t>
  </si>
  <si>
    <t>QG4 (option  not in house)</t>
  </si>
  <si>
    <t>QG5-1 (testine mateial=caron pending)</t>
  </si>
  <si>
    <t>need to send one more cartrige if ink jet in scope (expire date is matching installation plan)</t>
  </si>
  <si>
    <t xml:space="preserve">FP(if tube holders, need to set releaseing first set of tube holders, and all tube holers) </t>
  </si>
  <si>
    <t xml:space="preserve">pending 5 x 278K (last payment received in February 2026) customer committed to pay within this year </t>
  </si>
  <si>
    <t xml:space="preserve">DR = Design Review </t>
  </si>
  <si>
    <t>IDR= internal design review</t>
  </si>
  <si>
    <t>IDR</t>
  </si>
  <si>
    <t xml:space="preserve">WTr (For customers under VPT territory and US territory, the final pricing must follow the respective VPT pricing structure) From provided list until receiving price 1 week (small listing) to 3 weeks (large listing). 
</t>
  </si>
  <si>
    <t>QG5 (on CW21 we moved QG5 from CW22 to CW24 due to carton transport pending)</t>
  </si>
  <si>
    <r>
      <t>D,M</t>
    </r>
    <r>
      <rPr>
        <b/>
        <sz val="9"/>
        <color rgb="FFFF0000"/>
        <rFont val="Arial"/>
        <family val="2"/>
      </rPr>
      <t>,A</t>
    </r>
    <r>
      <rPr>
        <b/>
        <sz val="9"/>
        <color rgb="FF00B050"/>
        <rFont val="Arial"/>
        <family val="2"/>
      </rPr>
      <t>,P</t>
    </r>
  </si>
  <si>
    <t>DQ (if no new development DQ can be 4 weeks after QG3; if yes new development DQ can be  3 weeks after function description of new development)</t>
  </si>
  <si>
    <t>IP; carton transport group 2518545, currently it is estimated to arrive beginning of next week (CW22).  We are following this closely</t>
  </si>
  <si>
    <t xml:space="preserve"> WTr= 8700 - 6% = 8178 Euro (add the pricing which we get roughly 9,660 euro.) no need to stay 8178 Euro</t>
  </si>
  <si>
    <r>
      <rPr>
        <sz val="8"/>
        <color rgb="FFFF0000"/>
        <rFont val="Arial"/>
        <family val="2"/>
      </rPr>
      <t>DQ,</t>
    </r>
    <r>
      <rPr>
        <sz val="8"/>
        <rFont val="Arial"/>
        <family val="2"/>
      </rPr>
      <t xml:space="preserve"> list of parts for calibration certificat</t>
    </r>
  </si>
  <si>
    <t>Operator panel Make Allen-Bradley; Control system Make Rockwell, Model Controllogix; Additional Allen-Bradley servo x 5 sets</t>
  </si>
  <si>
    <t>receive Kraus (booklet feeder); final format overview</t>
  </si>
  <si>
    <t>test turn table at Linapack</t>
  </si>
  <si>
    <t>QG4 (basic not in house; late add parts)</t>
  </si>
  <si>
    <t>TM (carton )</t>
  </si>
  <si>
    <t>liniar guide x 16 delivery on 17.6.</t>
  </si>
  <si>
    <t>DT = Digital Twin</t>
  </si>
  <si>
    <t>ND, DT we will prepare?</t>
  </si>
  <si>
    <t xml:space="preserve">Pharma Pro&amp;Pack Expo 2026 (9th - 11th July) Hyderabad </t>
  </si>
  <si>
    <t>PMEC 2026 (24th - 26th November) Delhi</t>
  </si>
  <si>
    <t>receive machine back in Thailand</t>
  </si>
  <si>
    <t>TM (glue); arrived carton transport group 2518545</t>
  </si>
  <si>
    <t>sending machine to India for exibition;  Packing &amp; Loading: 29.05.2026; VESSEL: ZHONG GU TAI YUAN V.2602W; ETD: 07.06.2026; ETA NHAVA SHEVA: 21.06.2026</t>
  </si>
  <si>
    <t>VPT send 15000 tubes for Hydrabat</t>
  </si>
  <si>
    <t>VPT  or Thailand send 15000 tubes for Delih</t>
  </si>
  <si>
    <t>POP Projects (proof of principle)</t>
  </si>
  <si>
    <t>QG4 (follow product chain boundery on CW23)</t>
  </si>
  <si>
    <t>on 29.5. from Konrad: received samples from the current Interpack application, which features 4 materials, to showcase the possibilities.
The Interpack format will not be demonstrated live at the Propack or Allpack trade shows.</t>
  </si>
  <si>
    <r>
      <t xml:space="preserve">56000_SSL_TH_SC5-CondomFeeder
</t>
    </r>
    <r>
      <rPr>
        <sz val="10"/>
        <rFont val="Arial"/>
        <family val="2"/>
      </rPr>
      <t>additional format (set of size parts)</t>
    </r>
  </si>
  <si>
    <t xml:space="preserve">no need to order format parts, chiller, </t>
  </si>
  <si>
    <t>comitioining with Vitavas</t>
  </si>
  <si>
    <t xml:space="preserve">"Witawas Metapakwatpan" &lt;wmetapa@ra.rockwell.com&gt; SW from Rokvel </t>
  </si>
  <si>
    <t>TM(carton for last format)</t>
  </si>
  <si>
    <t>QG5-2 (during project status meeting on 28.5. agreed to moved QG5-2 from CW25 to CW27)</t>
  </si>
  <si>
    <t>development for this is only Design &amp; Programming, everything else will be handled with the Machine Project.</t>
  </si>
  <si>
    <t>QG4 (besic and option not in house)</t>
  </si>
  <si>
    <t>we absorbed  cost of glue around 5500 THB</t>
  </si>
  <si>
    <t>FAT for Linapack (one of 7 vial sizes has biger cap then body)</t>
  </si>
  <si>
    <t xml:space="preserve">DQ customer want to combine for both  </t>
  </si>
  <si>
    <t>QG4-2 (basic and option not in house…start weekly meeting) liniar guide x 16 delivery on 17.6.</t>
  </si>
  <si>
    <t>FAT(TG) = Internal FAT Thai-German</t>
  </si>
  <si>
    <t>FAT(TU) = Internal FAT Thai-US</t>
  </si>
  <si>
    <t>send testing material (Hood = 12,600; Top Card = 16,800; brush=2600)</t>
  </si>
  <si>
    <t>TM(Hood = 12,600; Top Card = 16,800; Brush=2600)</t>
  </si>
  <si>
    <t>QG5-2 (part delay and testing material expected on CW26)</t>
  </si>
  <si>
    <t>QG5 (new light curten was relesed)</t>
  </si>
  <si>
    <r>
      <rPr>
        <b/>
        <sz val="9"/>
        <color rgb="FFFF0000"/>
        <rFont val="Arial"/>
        <family val="2"/>
      </rPr>
      <t>D</t>
    </r>
    <r>
      <rPr>
        <b/>
        <sz val="9"/>
        <color rgb="FF00B050"/>
        <rFont val="Arial"/>
        <family val="2"/>
      </rPr>
      <t>,M,</t>
    </r>
    <r>
      <rPr>
        <b/>
        <sz val="9"/>
        <color rgb="FFFF0000"/>
        <rFont val="Arial"/>
        <family val="2"/>
      </rPr>
      <t>A,</t>
    </r>
    <r>
      <rPr>
        <b/>
        <sz val="9"/>
        <color rgb="FF00B050"/>
        <rFont val="Arial"/>
        <family val="2"/>
      </rPr>
      <t>P</t>
    </r>
  </si>
  <si>
    <t>Set F3</t>
  </si>
  <si>
    <t>IFd(F4)</t>
  </si>
  <si>
    <t>start with weeklyt meetings</t>
  </si>
  <si>
    <t>Jetsadapat / Henoch</t>
  </si>
  <si>
    <t>complete assembly</t>
  </si>
  <si>
    <t>QG4 (many parts still missing, last part on CW28)</t>
  </si>
  <si>
    <t>Tunyatorn</t>
  </si>
  <si>
    <t>QG5-2 (testing material coming on 29.6.)</t>
  </si>
  <si>
    <t xml:space="preserve">WTr=15000Euro - 18%; DQ customer want to combine for both  </t>
  </si>
  <si>
    <t xml:space="preserve">WTr=6000Euro - 18%; DQ customer want to combine for both  </t>
  </si>
  <si>
    <t>TM (condom) 29.6.</t>
  </si>
  <si>
    <t>QG5-2 (production capacity)</t>
  </si>
  <si>
    <t>FAT (due to new design and production capacity we request to move FAT from CW36 to CW42…as anyway customer request delivery on CW2 / January 2027)</t>
  </si>
  <si>
    <r>
      <t xml:space="preserve">FAT for Linapack ; </t>
    </r>
    <r>
      <rPr>
        <sz val="8"/>
        <color rgb="FFFF0000"/>
        <rFont val="Arial"/>
        <family val="2"/>
      </rPr>
      <t xml:space="preserve">receive Linapack; </t>
    </r>
    <r>
      <rPr>
        <sz val="8"/>
        <rFont val="Arial"/>
        <family val="2"/>
      </rPr>
      <t>receive from customer (Ink-Jet unit; print control camera)</t>
    </r>
  </si>
  <si>
    <t>NDA to sign with Joel ( not information to be exposed)</t>
  </si>
  <si>
    <t>SW  (Witawas)</t>
  </si>
  <si>
    <t>Witawas start meetings every 2 weeks</t>
  </si>
  <si>
    <t>3D model for Rokwell (removing every measurement(just to keep moving part, sensors, tube holder...)</t>
  </si>
  <si>
    <t>IFd (F2=F4=F3)</t>
  </si>
  <si>
    <t>Linapack one of 7 vial sizes has biger cap then body - customer mentioned that this is miustake from supler all vials shoild have bigger body then cap</t>
  </si>
  <si>
    <t xml:space="preserve">IP; TM (customer delay will be dispatch oin 6.7. should arrive within July); receive Linapack; </t>
  </si>
  <si>
    <t>set F4</t>
  </si>
  <si>
    <t>IFd(F5)</t>
  </si>
  <si>
    <t>IFd(F9)</t>
  </si>
  <si>
    <t>IFd(F13)</t>
  </si>
  <si>
    <t>receive parts for new light curten was relesed 10.7.</t>
  </si>
  <si>
    <t>347,750.00 THB.</t>
  </si>
  <si>
    <t>QG4 (option not in house)</t>
  </si>
  <si>
    <t>IFd(F3;F5)</t>
  </si>
  <si>
    <t>OPERATION:</t>
  </si>
  <si>
    <t>SO, Major issue is wiring diagram --&gt; it is a special project then it is important task.</t>
  </si>
  <si>
    <t>EB = Electrical BOM complete</t>
  </si>
  <si>
    <t>PAC = Pre-Assembly Complete</t>
  </si>
  <si>
    <t>ECR = E-Cabinet Ready</t>
  </si>
  <si>
    <t>SO = Switch ON</t>
  </si>
  <si>
    <t>BSR=Basic Setup Ready (including IO check)</t>
  </si>
  <si>
    <t>EB</t>
  </si>
  <si>
    <t>IFs(product bundery is missing)</t>
  </si>
  <si>
    <t>need to prictise manual loading (F3=F5)</t>
  </si>
  <si>
    <t>QG4 (Lifting unit sealing 2662054 – linear guide 4214792 get end of CW31)</t>
  </si>
  <si>
    <r>
      <t>IFd (F2</t>
    </r>
    <r>
      <rPr>
        <sz val="8"/>
        <color rgb="FFFF0000"/>
        <rFont val="Arial"/>
        <family val="2"/>
      </rPr>
      <t>=F4=F3</t>
    </r>
    <r>
      <rPr>
        <sz val="8"/>
        <rFont val="Arial"/>
        <family val="2"/>
      </rPr>
      <t>)</t>
    </r>
  </si>
  <si>
    <r>
      <rPr>
        <b/>
        <sz val="9"/>
        <color rgb="FFFF0000"/>
        <rFont val="Arial"/>
        <family val="2"/>
      </rPr>
      <t>D,M,A</t>
    </r>
    <r>
      <rPr>
        <b/>
        <sz val="9"/>
        <color rgb="FF00B050"/>
        <rFont val="Arial"/>
        <family val="2"/>
      </rPr>
      <t>,P</t>
    </r>
  </si>
  <si>
    <t>IFd(F3;F5) manual loading was slow</t>
  </si>
  <si>
    <t xml:space="preserve">receive Linapack .
1st time : around CW34, to support set up machine. we will inform exactly date again.
2nd time : support our FAT around CW40.
</t>
  </si>
  <si>
    <t>Request Jekson engineer to support set up machine 2 times</t>
  </si>
  <si>
    <t>Operation</t>
  </si>
  <si>
    <t>PAC</t>
  </si>
  <si>
    <t>ECR</t>
  </si>
  <si>
    <t>FAC</t>
  </si>
  <si>
    <t>Set F2?</t>
  </si>
  <si>
    <t>BSR (F1)</t>
  </si>
  <si>
    <t>BPA = Pre-Assembly start</t>
  </si>
  <si>
    <t>QG3 (to follow wiring and design for HIM panel)</t>
  </si>
  <si>
    <t xml:space="preserve">F(plastic tube); </t>
  </si>
  <si>
    <t>QG5 (assembly not complete, waiting modify parts, big issue gear wheel rotation)</t>
  </si>
  <si>
    <t>deal with Schiffer India?</t>
  </si>
  <si>
    <t>FP(released new format parts)</t>
  </si>
  <si>
    <t>must receive format parts</t>
  </si>
  <si>
    <t>FAT (due to customer availability need to move FAT corm CW32 and CW33 to CW34)</t>
  </si>
  <si>
    <t>QG5 (need to wait guarding at overhad change)</t>
  </si>
  <si>
    <t>QG5-2 (modify parts not in house; format parts not in house; SW not done; assmebly capacity)</t>
  </si>
  <si>
    <r>
      <t xml:space="preserve">(credit term 90 days)  </t>
    </r>
    <r>
      <rPr>
        <b/>
        <sz val="9"/>
        <color rgb="FF00B050"/>
        <rFont val="Arial"/>
        <family val="2"/>
      </rPr>
      <t>30% (DP)</t>
    </r>
    <r>
      <rPr>
        <b/>
        <sz val="9"/>
        <rFont val="Arial"/>
        <family val="2"/>
      </rPr>
      <t xml:space="preserve"> 30% (after FAT); 30% (after successful SAT, however, no later than 45 days after installation if main acceptance tests shouldbe delayed for reasons for which Henkel is responsible). 10% after expiry of the warranty period or with the final invoice against bank guarantee S/O: 6080056060</t>
    </r>
  </si>
  <si>
    <t>We need to charge customer for travelling expense, and accommodations</t>
  </si>
  <si>
    <t>Bantao will go on CW38 for 18 days and one VPT el. technician will go for 5 days</t>
  </si>
  <si>
    <t>Basic set up + F.2 (Glue) set up</t>
  </si>
  <si>
    <t>F.2 (Glue) set up continue</t>
  </si>
  <si>
    <t>F.5 (Glue) set up</t>
  </si>
  <si>
    <t>F.9 (Tuckin) set up</t>
  </si>
  <si>
    <t>F.13 (Tuckin) set up + F.11 &amp; F.12 (F.11,F.12 has same carton, vial with F.13 but different only booklet)</t>
  </si>
  <si>
    <t>Jekson  (1st time on CW38 (14-18 Sep)</t>
  </si>
  <si>
    <t>Jekson 2nd time on CW41 (5-9 Oct)
 pack with machine 3 samples that we run on machine during FAT</t>
  </si>
  <si>
    <t>IP,WTc</t>
  </si>
  <si>
    <t>IFs(some pending parts)</t>
  </si>
  <si>
    <t>QG5 (program not finished, testing material not arrived)</t>
  </si>
  <si>
    <t>QG5(follow up testing material and some modification parts)</t>
  </si>
  <si>
    <t>IFd(F2) need to continue on CW37</t>
  </si>
  <si>
    <t>flight delayed</t>
  </si>
  <si>
    <t>received all format parts</t>
  </si>
  <si>
    <t xml:space="preserve"> TM only vials (customer delay will be dispatch oin 6.7. should arrive within July)</t>
  </si>
  <si>
    <t>TM (booklet, carton)</t>
  </si>
  <si>
    <t>IFd(F3;F4)</t>
  </si>
  <si>
    <t>FAT (due to bublic holiday in CW42 custoer request to move FAT to CW43</t>
  </si>
  <si>
    <t>Nut to organzie meeting for setting timeline</t>
  </si>
  <si>
    <t xml:space="preserve">Final assembly Target </t>
  </si>
  <si>
    <t xml:space="preserve">Pre-assembly Mechanical + E-Cabinet can begin but target completed </t>
  </si>
  <si>
    <t>FAC = Final Assembly Complete</t>
  </si>
  <si>
    <t>QG4 (Rokwel parts delayed to January but should be earlier, goal by end of Septamber)</t>
  </si>
  <si>
    <r>
      <t xml:space="preserve">FOB Bangkok, AIR delivery; </t>
    </r>
    <r>
      <rPr>
        <b/>
        <sz val="8"/>
        <color rgb="FF00B050"/>
        <rFont val="Arial"/>
        <family val="2"/>
      </rPr>
      <t xml:space="preserve">packing; loading; ETD 12.09. </t>
    </r>
    <r>
      <rPr>
        <b/>
        <sz val="8"/>
        <rFont val="Arial"/>
        <family val="2"/>
      </rPr>
      <t>/ ETA 16.09.</t>
    </r>
  </si>
  <si>
    <t>P;L,ETD</t>
  </si>
  <si>
    <t>FAT (acceptance will be signed after closing LOPs = CW40)</t>
  </si>
  <si>
    <t>FAT (testing material arrived on CW37 instead CW23 - but we could wait until CW31)</t>
  </si>
  <si>
    <t>non FAT format  F4; F6; F7</t>
  </si>
  <si>
    <t>non FAT format  F10; F8; F14</t>
  </si>
  <si>
    <t>non FAT format  F15; F16</t>
  </si>
  <si>
    <r>
      <t xml:space="preserve">IFd(F2; </t>
    </r>
    <r>
      <rPr>
        <sz val="8"/>
        <color rgb="FFFF0000"/>
        <rFont val="Arial"/>
        <family val="2"/>
      </rPr>
      <t>F3;F4</t>
    </r>
    <r>
      <rPr>
        <sz val="8"/>
        <rFont val="Arial"/>
        <family val="2"/>
      </rPr>
      <t>)</t>
    </r>
  </si>
  <si>
    <t xml:space="preserve">Apichat 18.9.26.We agree on the followings:
•	Winner will provide the details and samples of format parts on next week
•	We confirm 3-4 months manufacturing time
•	Winner will settle the final payment before February 2027, and prior to the delivery </t>
  </si>
  <si>
    <r>
      <t xml:space="preserve">AllPack exibition </t>
    </r>
    <r>
      <rPr>
        <b/>
        <sz val="8"/>
        <color rgb="FF00B050"/>
        <rFont val="Arial"/>
        <family val="2"/>
      </rPr>
      <t xml:space="preserve">packing 17.9.2026. Loading 17.9.2026.  ETD: 22.09.2026; </t>
    </r>
    <r>
      <rPr>
        <b/>
        <sz val="8"/>
        <rFont val="Arial"/>
        <family val="2"/>
      </rPr>
      <t>ETA: 26.09.2026</t>
    </r>
  </si>
  <si>
    <t>Fault Assistance will be prepared after FAT by VPT on CW41</t>
  </si>
  <si>
    <t>Vivek approved visa on 23.9. when will come el.technician from VPT (Marino) on CW40</t>
  </si>
  <si>
    <t>Jekson 2nd time on CW45 (?)
 pack with machine 3 samples that we run on machine during FAT</t>
  </si>
  <si>
    <t>non FAT format  F12; F1; F11</t>
  </si>
  <si>
    <r>
      <t>56060_A_SI_VI5X</t>
    </r>
    <r>
      <rPr>
        <sz val="10"/>
        <rFont val="Arial"/>
        <family val="2"/>
      </rPr>
      <t xml:space="preserve">
Formats:  3 FAT (3 days; F2,F3;F5=10min) / 4 ( 5 adjust charts) 
I&amp;C 1x mech. Tech. 10x days; 1x el. tech. 5x days
Traininig 1x tech. for start-up &amp; Training 5x days
SAT by 1 technician for 3 days.</t>
    </r>
  </si>
  <si>
    <r>
      <t>56040_</t>
    </r>
    <r>
      <rPr>
        <b/>
        <u/>
        <sz val="10"/>
        <color theme="10"/>
        <rFont val="Arial"/>
        <family val="2"/>
      </rPr>
      <t>B</t>
    </r>
    <r>
      <rPr>
        <u/>
        <sz val="10"/>
        <color theme="10"/>
        <rFont val="Arial"/>
        <family val="2"/>
      </rPr>
      <t xml:space="preserve">_CN_SC5-CondomFeeder
</t>
    </r>
    <r>
      <rPr>
        <sz val="10"/>
        <rFont val="Arial"/>
        <family val="2"/>
      </rPr>
      <t>Formats: 4 FAT (12 days; 30min) / 4 (4 adjustment charts)
I&amp;C by 1 Thai &amp; 1 Chinese service technician for 6 days
Execution IQ/OQ by 2Thai &amp; 1Chinese service technicians for 4 days
Training by 2 Thai &amp; 1 Chinese service technicians for 2 days</t>
    </r>
  </si>
  <si>
    <r>
      <t xml:space="preserve">56000_C_TH_SC5-CondomFeeder
</t>
    </r>
    <r>
      <rPr>
        <sz val="10"/>
        <rFont val="Arial"/>
        <family val="2"/>
      </rPr>
      <t>Formats: 5 FAT (5 days; 30min) / 5 (5 adjustment charts) 
I&amp;C by 1 technician for 15 days
Execution/Support IQ/OQ by 1 technician for 5 days
Training y 1 technician for 3 days</t>
    </r>
  </si>
  <si>
    <r>
      <t xml:space="preserve">56090_D_IN_SC5-OEM
</t>
    </r>
    <r>
      <rPr>
        <sz val="10"/>
        <rFont val="Arial"/>
        <family val="2"/>
      </rPr>
      <t xml:space="preserve">Formats: 4 FAT (3 days; 10min=F2, F5, F9, F13) / 16 (15 adjust. chart) 
I&amp;C by 1 technician over 5 weeks
</t>
    </r>
  </si>
  <si>
    <r>
      <t xml:space="preserve">55733_E_IN_HC5
</t>
    </r>
    <r>
      <rPr>
        <sz val="10"/>
        <rFont val="Arial"/>
        <family val="2"/>
      </rPr>
      <t>Formats:  FAT (3 days FAT) / 4 (5+1 adjustment chart)
I&amp;C by 2 technicians for 25 days
SAT by 2 technicians for 5 days</t>
    </r>
  </si>
  <si>
    <r>
      <t xml:space="preserve">56300_F_TH-FP10 Rockwell PLC </t>
    </r>
    <r>
      <rPr>
        <sz val="10"/>
        <rFont val="Arial"/>
        <family val="2"/>
      </rPr>
      <t>(POP)
plastic tube</t>
    </r>
  </si>
  <si>
    <r>
      <t xml:space="preserve">56090_F_IN_SC5-OEM
</t>
    </r>
    <r>
      <rPr>
        <sz val="10"/>
        <rFont val="Arial"/>
        <family val="2"/>
      </rPr>
      <t xml:space="preserve">Formats: 4 FAT (3 days; 10min=F2, F5, F9, F13) / 16 (15 adjust. chart) 
I&amp;C by 1 technician over 5 weeks
</t>
    </r>
  </si>
  <si>
    <r>
      <t xml:space="preserve">55733_G_IN_HC5
</t>
    </r>
    <r>
      <rPr>
        <sz val="10"/>
        <rFont val="Arial"/>
        <family val="2"/>
      </rPr>
      <t>Formats:  FAT (3 days FAT) / 4 (5+1 adjustment chart)
I&amp;C by 2 technicians for 25 days
SAT by 2 technicians for 5 days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</si>
</sst>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USD]\ #,##0"/>
    <numFmt numFmtId="165" formatCode="[$EUR]\ #,##0"/>
    <numFmt numFmtId="166" formatCode="[$THB]\ #,##0"/>
    <numFmt numFmtId="167" formatCode="[$EUR]\ #,##0.00"/>
    <numFmt numFmtId="168" formatCode="[$THB]\ #,##0.00"/>
    <numFmt numFmtId="169" formatCode="&quot;$&quot;#,##0"/>
    <numFmt numFmtId="170" formatCode="_([$EUR]\ * #,##0_);_([$EUR]\ * \(#,##0\);_([$EUR]\ * &quot;-&quot;_);_(@_)"/>
  </numFmts>
  <fonts count="29">
    <font>
      <sz val="10"/>
      <name val="Arial"/>
    </font>
    <font>
      <sz val="11"/>
      <color theme="1"/>
      <name val="Calibri"/>
      <family val="2"/>
      <scheme val="minor"/>
    </font>
    <font>
      <sz val="8"/>
      <name val="Arial"/>
      <family val="2"/>
    </font>
    <font>
      <b/>
      <sz val="10"/>
      <name val="Arial"/>
      <family val="2"/>
    </font>
    <font>
      <sz val="10"/>
      <name val="Arial"/>
      <family val="2"/>
    </font>
    <font>
      <b/>
      <sz val="9"/>
      <name val="Arial"/>
      <family val="2"/>
    </font>
    <font>
      <sz val="8"/>
      <color indexed="10"/>
      <name val="Arial"/>
      <family val="2"/>
    </font>
    <font>
      <u/>
      <sz val="10"/>
      <color theme="10"/>
      <name val="Arial"/>
      <family val="2"/>
    </font>
    <font>
      <b/>
      <sz val="8"/>
      <color indexed="10"/>
      <name val="Arial"/>
      <family val="2"/>
    </font>
    <font>
      <sz val="10"/>
      <color theme="0"/>
      <name val="Arial"/>
      <family val="2"/>
    </font>
    <font>
      <sz val="8"/>
      <color theme="0"/>
      <name val="Arial"/>
      <family val="2"/>
    </font>
    <font>
      <sz val="8"/>
      <color rgb="FFFF0000"/>
      <name val="Arial"/>
      <family val="2"/>
    </font>
    <font>
      <b/>
      <sz val="11"/>
      <color rgb="FFC00000"/>
      <name val="Arial"/>
      <family val="2"/>
    </font>
    <font>
      <b/>
      <sz val="9"/>
      <color rgb="FF0055FE"/>
      <name val="Arial"/>
      <family val="2"/>
    </font>
    <font>
      <b/>
      <sz val="11"/>
      <name val="Arial"/>
      <family val="2"/>
    </font>
    <font>
      <sz val="8"/>
      <color rgb="FF00B050"/>
      <name val="Arial"/>
      <family val="2"/>
    </font>
    <font>
      <sz val="9"/>
      <name val="Arial"/>
      <family val="2"/>
    </font>
    <font>
      <b/>
      <sz val="9"/>
      <color rgb="FFFF0000"/>
      <name val="Arial"/>
      <family val="2"/>
    </font>
    <font>
      <sz val="10"/>
      <color rgb="FF000000"/>
      <name val="ArialMT"/>
    </font>
    <font>
      <sz val="9"/>
      <color theme="0"/>
      <name val="Arial"/>
      <family val="2"/>
    </font>
    <font>
      <b/>
      <sz val="8"/>
      <name val="Arial"/>
      <family val="2"/>
    </font>
    <font>
      <b/>
      <u/>
      <sz val="11"/>
      <name val="Arial"/>
      <family val="2"/>
    </font>
    <font>
      <b/>
      <sz val="9"/>
      <color rgb="FF00B050"/>
      <name val="Arial"/>
      <family val="2"/>
    </font>
    <font>
      <b/>
      <sz val="8"/>
      <color rgb="FF00B050"/>
      <name val="Arial"/>
      <family val="2"/>
    </font>
    <font>
      <b/>
      <sz val="11"/>
      <color rgb="FFFF0000"/>
      <name val="Arial"/>
      <family val="2"/>
    </font>
    <font>
      <b/>
      <sz val="11"/>
      <color rgb="FF00B050"/>
      <name val="Arial"/>
      <family val="2"/>
    </font>
    <font>
      <sz val="10"/>
      <name val="Arial"/>
      <family val="2"/>
    </font>
    <font>
      <b/>
      <sz val="12"/>
      <name val="Arial"/>
      <family val="2"/>
    </font>
    <font>
      <b/>
      <u/>
      <sz val="10"/>
      <color theme="10"/>
      <name val="Arial"/>
      <family val="2"/>
    </font>
  </fonts>
  <fills count="20">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50"/>
        <bgColor indexed="64"/>
      </patternFill>
    </fill>
    <fill>
      <patternFill patternType="solid">
        <fgColor indexed="48"/>
        <bgColor indexed="64"/>
      </patternFill>
    </fill>
    <fill>
      <patternFill patternType="solid">
        <fgColor indexed="10"/>
        <bgColor indexed="64"/>
      </patternFill>
    </fill>
    <fill>
      <patternFill patternType="solid">
        <fgColor indexed="13"/>
        <bgColor indexed="64"/>
      </patternFill>
    </fill>
    <fill>
      <patternFill patternType="solid">
        <fgColor rgb="FF92D050"/>
        <bgColor indexed="64"/>
      </patternFill>
    </fill>
    <fill>
      <patternFill patternType="solid">
        <fgColor theme="3" tint="0.79998168889431442"/>
        <bgColor indexed="64"/>
      </patternFill>
    </fill>
    <fill>
      <patternFill patternType="solid">
        <fgColor rgb="FF0055FE"/>
        <bgColor indexed="64"/>
      </patternFill>
    </fill>
    <fill>
      <patternFill patternType="solid">
        <fgColor rgb="FFFFFF00"/>
        <bgColor indexed="64"/>
      </patternFill>
    </fill>
    <fill>
      <patternFill patternType="solid">
        <fgColor rgb="FF0066FF"/>
        <bgColor indexed="64"/>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7030A0"/>
        <bgColor indexed="64"/>
      </patternFill>
    </fill>
    <fill>
      <patternFill patternType="solid">
        <fgColor theme="5" tint="0.39997558519241921"/>
        <bgColor indexed="64"/>
      </patternFill>
    </fill>
  </fills>
  <borders count="132">
    <border>
      <left/>
      <right/>
      <top/>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thin">
        <color indexed="64"/>
      </right>
      <top/>
      <bottom/>
      <diagonal/>
    </border>
    <border>
      <left style="thin">
        <color indexed="64"/>
      </left>
      <right/>
      <top style="thin">
        <color indexed="64"/>
      </top>
      <bottom style="medium">
        <color indexed="64"/>
      </bottom>
      <diagonal/>
    </border>
    <border>
      <left/>
      <right style="hair">
        <color indexed="64"/>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bottom style="hair">
        <color indexed="64"/>
      </bottom>
      <diagonal/>
    </border>
    <border>
      <left style="medium">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bottom style="thin">
        <color indexed="64"/>
      </bottom>
      <diagonal/>
    </border>
    <border>
      <left style="medium">
        <color indexed="64"/>
      </left>
      <right style="hair">
        <color indexed="64"/>
      </right>
      <top style="hair">
        <color indexed="64"/>
      </top>
      <bottom style="hair">
        <color indexed="64"/>
      </bottom>
      <diagonal/>
    </border>
    <border>
      <left/>
      <right/>
      <top style="hair">
        <color indexed="64"/>
      </top>
      <bottom style="thin">
        <color indexed="64"/>
      </bottom>
      <diagonal/>
    </border>
    <border>
      <left style="thin">
        <color indexed="64"/>
      </left>
      <right style="medium">
        <color indexed="64"/>
      </right>
      <top/>
      <bottom style="thin">
        <color indexed="64"/>
      </bottom>
      <diagonal/>
    </border>
    <border>
      <left style="medium">
        <color indexed="64"/>
      </left>
      <right style="hair">
        <color indexed="64"/>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top/>
      <bottom style="medium">
        <color indexed="64"/>
      </bottom>
      <diagonal/>
    </border>
    <border>
      <left style="hair">
        <color indexed="64"/>
      </left>
      <right style="medium">
        <color indexed="64"/>
      </right>
      <top/>
      <bottom style="hair">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right/>
      <top style="medium">
        <color indexed="64"/>
      </top>
      <bottom/>
      <diagonal/>
    </border>
    <border>
      <left style="medium">
        <color indexed="64"/>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medium">
        <color indexed="64"/>
      </left>
      <right style="hair">
        <color indexed="64"/>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hair">
        <color indexed="64"/>
      </right>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indexed="64"/>
      </top>
      <bottom style="hair">
        <color indexed="64"/>
      </bottom>
      <diagonal/>
    </border>
    <border>
      <left style="medium">
        <color indexed="64"/>
      </left>
      <right style="hair">
        <color indexed="64"/>
      </right>
      <top style="thin">
        <color indexed="64"/>
      </top>
      <bottom/>
      <diagonal/>
    </border>
    <border>
      <left/>
      <right/>
      <top style="hair">
        <color indexed="64"/>
      </top>
      <bottom style="medium">
        <color indexed="64"/>
      </bottom>
      <diagonal/>
    </border>
    <border>
      <left/>
      <right style="hair">
        <color indexed="64"/>
      </right>
      <top/>
      <bottom style="medium">
        <color indexed="64"/>
      </bottom>
      <diagonal/>
    </border>
    <border>
      <left style="medium">
        <color indexed="64"/>
      </left>
      <right style="hair">
        <color indexed="64"/>
      </right>
      <top/>
      <bottom style="medium">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right style="hair">
        <color indexed="64"/>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hair">
        <color indexed="64"/>
      </right>
      <top/>
      <bottom/>
      <diagonal/>
    </border>
    <border>
      <left style="medium">
        <color indexed="64"/>
      </left>
      <right style="hair">
        <color indexed="64"/>
      </right>
      <top/>
      <bottom/>
      <diagonal/>
    </border>
    <border>
      <left/>
      <right style="hair">
        <color indexed="64"/>
      </right>
      <top style="thin">
        <color indexed="64"/>
      </top>
      <bottom/>
      <diagonal/>
    </border>
    <border>
      <left style="hair">
        <color indexed="64"/>
      </left>
      <right style="hair">
        <color indexed="64"/>
      </right>
      <top/>
      <bottom/>
      <diagonal/>
    </border>
    <border>
      <left/>
      <right style="medium">
        <color indexed="64"/>
      </right>
      <top style="thin">
        <color indexed="64"/>
      </top>
      <bottom/>
      <diagonal/>
    </border>
    <border>
      <left/>
      <right style="medium">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style="medium">
        <color indexed="64"/>
      </left>
      <right/>
      <top style="hair">
        <color indexed="64"/>
      </top>
      <bottom style="thin">
        <color indexed="64"/>
      </bottom>
      <diagonal/>
    </border>
    <border>
      <left style="medium">
        <color indexed="64"/>
      </left>
      <right/>
      <top style="hair">
        <color indexed="64"/>
      </top>
      <bottom style="medium">
        <color indexed="64"/>
      </bottom>
      <diagonal/>
    </border>
    <border>
      <left/>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style="hair">
        <color indexed="64"/>
      </bottom>
      <diagonal/>
    </border>
    <border>
      <left style="hair">
        <color indexed="64"/>
      </left>
      <right style="hair">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hair">
        <color indexed="64"/>
      </top>
      <bottom/>
      <diagonal/>
    </border>
    <border>
      <left/>
      <right/>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top style="medium">
        <color indexed="64"/>
      </top>
      <bottom style="thin">
        <color indexed="64"/>
      </bottom>
      <diagonal/>
    </border>
    <border>
      <left style="hair">
        <color indexed="64"/>
      </left>
      <right style="medium">
        <color indexed="64"/>
      </right>
      <top/>
      <bottom style="medium">
        <color indexed="64"/>
      </bottom>
      <diagonal/>
    </border>
    <border>
      <left style="hair">
        <color indexed="64"/>
      </left>
      <right style="medium">
        <color indexed="64"/>
      </right>
      <top style="thin">
        <color indexed="64"/>
      </top>
      <bottom style="thin">
        <color indexed="64"/>
      </bottom>
      <diagonal/>
    </border>
    <border>
      <left style="hair">
        <color indexed="64"/>
      </left>
      <right style="medium">
        <color indexed="64"/>
      </right>
      <top style="hair">
        <color indexed="64"/>
      </top>
      <bottom style="medium">
        <color indexed="64"/>
      </bottom>
      <diagonal/>
    </border>
    <border>
      <left/>
      <right/>
      <top style="medium">
        <color indexed="64"/>
      </top>
      <bottom style="thin">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diagonal/>
    </border>
    <border>
      <left style="hair">
        <color indexed="64"/>
      </left>
      <right style="medium">
        <color indexed="64"/>
      </right>
      <top style="hair">
        <color indexed="64"/>
      </top>
      <bottom style="thin">
        <color indexed="64"/>
      </bottom>
      <diagonal/>
    </border>
    <border>
      <left style="hair">
        <color indexed="64"/>
      </left>
      <right/>
      <top style="hair">
        <color indexed="64"/>
      </top>
      <bottom style="thin">
        <color indexed="64"/>
      </bottom>
      <diagonal/>
    </border>
    <border>
      <left/>
      <right/>
      <top style="thin">
        <color indexed="64"/>
      </top>
      <bottom style="hair">
        <color indexed="64"/>
      </bottom>
      <diagonal/>
    </border>
    <border>
      <left style="hair">
        <color indexed="64"/>
      </left>
      <right/>
      <top style="thin">
        <color indexed="64"/>
      </top>
      <bottom style="thin">
        <color indexed="64"/>
      </bottom>
      <diagonal/>
    </border>
    <border>
      <left style="medium">
        <color indexed="64"/>
      </left>
      <right/>
      <top style="medium">
        <color indexed="64"/>
      </top>
      <bottom style="thin">
        <color indexed="64"/>
      </bottom>
      <diagonal/>
    </border>
    <border>
      <left style="hair">
        <color indexed="64"/>
      </left>
      <right/>
      <top style="thin">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right style="medium">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hair">
        <color indexed="64"/>
      </bottom>
      <diagonal/>
    </border>
    <border>
      <left style="hair">
        <color indexed="64"/>
      </left>
      <right style="hair">
        <color indexed="64"/>
      </right>
      <top/>
      <bottom style="medium">
        <color indexed="64"/>
      </bottom>
      <diagonal/>
    </border>
    <border>
      <left style="medium">
        <color indexed="64"/>
      </left>
      <right/>
      <top style="hair">
        <color indexed="64"/>
      </top>
      <bottom style="hair">
        <color indexed="64"/>
      </bottom>
      <diagonal/>
    </border>
    <border>
      <left style="hair">
        <color indexed="64"/>
      </left>
      <right/>
      <top style="thin">
        <color indexed="64"/>
      </top>
      <bottom/>
      <diagonal/>
    </border>
    <border>
      <left style="hair">
        <color indexed="64"/>
      </left>
      <right/>
      <top style="hair">
        <color indexed="64"/>
      </top>
      <bottom style="medium">
        <color indexed="64"/>
      </bottom>
      <diagonal/>
    </border>
    <border>
      <left style="medium">
        <color indexed="64"/>
      </left>
      <right/>
      <top style="thin">
        <color indexed="64"/>
      </top>
      <bottom style="hair">
        <color indexed="64"/>
      </bottom>
      <diagonal/>
    </border>
    <border>
      <left style="thin">
        <color indexed="64"/>
      </left>
      <right/>
      <top/>
      <bottom style="medium">
        <color indexed="64"/>
      </bottom>
      <diagonal/>
    </border>
    <border>
      <left style="hair">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hair">
        <color indexed="64"/>
      </left>
      <right style="medium">
        <color indexed="64"/>
      </right>
      <top style="hair">
        <color indexed="64"/>
      </top>
      <bottom/>
      <diagonal/>
    </border>
    <border>
      <left style="medium">
        <color indexed="64"/>
      </left>
      <right style="medium">
        <color indexed="64"/>
      </right>
      <top/>
      <bottom style="hair">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s>
  <cellStyleXfs count="5">
    <xf numFmtId="0" fontId="0" fillId="0" borderId="0"/>
    <xf numFmtId="0" fontId="4" fillId="0" borderId="0"/>
    <xf numFmtId="0" fontId="7" fillId="0" borderId="0" applyNumberFormat="0" applyFill="0" applyBorder="0" applyAlignment="0" applyProtection="0"/>
    <xf numFmtId="0" fontId="1" fillId="0" borderId="0"/>
    <xf numFmtId="43" fontId="26" fillId="0" borderId="0" applyFont="0" applyFill="0" applyBorder="0" applyAlignment="0" applyProtection="0"/>
  </cellStyleXfs>
  <cellXfs count="745">
    <xf numFmtId="0" fontId="0" fillId="0" borderId="0" xfId="0"/>
    <xf numFmtId="0" fontId="3" fillId="0" borderId="0" xfId="0" applyFont="1" applyAlignment="1">
      <alignment horizontal="center" vertical="center"/>
    </xf>
    <xf numFmtId="0" fontId="4" fillId="0" borderId="0" xfId="0" applyFont="1"/>
    <xf numFmtId="0" fontId="5" fillId="3" borderId="31" xfId="0" applyFont="1" applyFill="1" applyBorder="1" applyAlignment="1">
      <alignment horizontal="center" vertical="center"/>
    </xf>
    <xf numFmtId="0" fontId="5" fillId="3" borderId="30" xfId="0" applyFont="1" applyFill="1" applyBorder="1" applyAlignment="1">
      <alignment horizontal="center" vertical="center"/>
    </xf>
    <xf numFmtId="0" fontId="4" fillId="0" borderId="0" xfId="0" applyFont="1" applyAlignment="1">
      <alignment horizontal="center"/>
    </xf>
    <xf numFmtId="0" fontId="6" fillId="0" borderId="0" xfId="0" applyFont="1"/>
    <xf numFmtId="17" fontId="3" fillId="0" borderId="0" xfId="0" applyNumberFormat="1" applyFont="1" applyAlignment="1">
      <alignment horizontal="center" vertical="center"/>
    </xf>
    <xf numFmtId="0" fontId="8" fillId="0" borderId="0" xfId="0" applyFont="1"/>
    <xf numFmtId="0" fontId="9" fillId="0" borderId="0" xfId="0" applyFont="1" applyAlignment="1">
      <alignment horizontal="center"/>
    </xf>
    <xf numFmtId="0" fontId="4" fillId="8" borderId="0" xfId="0" applyFont="1" applyFill="1" applyAlignment="1">
      <alignment horizontal="center"/>
    </xf>
    <xf numFmtId="0" fontId="2" fillId="8" borderId="42" xfId="0" applyFont="1" applyFill="1" applyBorder="1" applyAlignment="1">
      <alignment horizontal="center" vertical="center"/>
    </xf>
    <xf numFmtId="0" fontId="10" fillId="12" borderId="43" xfId="0" applyFont="1" applyFill="1" applyBorder="1" applyAlignment="1">
      <alignment horizontal="center" vertical="center"/>
    </xf>
    <xf numFmtId="0" fontId="10" fillId="12" borderId="42" xfId="0" applyFont="1" applyFill="1" applyBorder="1" applyAlignment="1">
      <alignment horizontal="center" vertical="center"/>
    </xf>
    <xf numFmtId="0" fontId="3" fillId="0" borderId="15" xfId="0" applyFont="1" applyBorder="1" applyAlignment="1">
      <alignment horizontal="center" vertical="center"/>
    </xf>
    <xf numFmtId="0" fontId="4" fillId="0" borderId="0" xfId="0" applyFont="1" applyAlignment="1">
      <alignment horizontal="center" vertical="center"/>
    </xf>
    <xf numFmtId="0" fontId="8" fillId="0" borderId="7" xfId="0" applyFont="1" applyBorder="1" applyAlignment="1">
      <alignment horizontal="left" vertical="top"/>
    </xf>
    <xf numFmtId="0" fontId="0" fillId="0" borderId="0" xfId="0" applyAlignment="1">
      <alignment horizontal="center" vertical="center"/>
    </xf>
    <xf numFmtId="0" fontId="8" fillId="0" borderId="0" xfId="0" applyFont="1" applyAlignment="1">
      <alignment horizontal="left" vertical="top"/>
    </xf>
    <xf numFmtId="0" fontId="3" fillId="0" borderId="0" xfId="0" applyFont="1" applyAlignment="1">
      <alignment horizontal="center"/>
    </xf>
    <xf numFmtId="0" fontId="3" fillId="2" borderId="31"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10" fillId="12" borderId="44" xfId="0" applyFont="1" applyFill="1" applyBorder="1" applyAlignment="1">
      <alignment horizontal="center" vertical="center"/>
    </xf>
    <xf numFmtId="0" fontId="2" fillId="9" borderId="44" xfId="0" applyFont="1" applyFill="1" applyBorder="1" applyAlignment="1">
      <alignment horizontal="center" vertical="center"/>
    </xf>
    <xf numFmtId="0" fontId="2" fillId="9" borderId="43" xfId="0" applyFont="1" applyFill="1" applyBorder="1" applyAlignment="1">
      <alignment horizontal="center" vertical="center"/>
    </xf>
    <xf numFmtId="0" fontId="2" fillId="9" borderId="42" xfId="0" applyFont="1" applyFill="1" applyBorder="1" applyAlignment="1">
      <alignment horizontal="center" vertical="center"/>
    </xf>
    <xf numFmtId="0" fontId="2" fillId="9" borderId="45" xfId="0" applyFont="1" applyFill="1" applyBorder="1" applyAlignment="1">
      <alignment horizontal="center" vertical="center"/>
    </xf>
    <xf numFmtId="0" fontId="2" fillId="9" borderId="46" xfId="0" applyFont="1" applyFill="1" applyBorder="1" applyAlignment="1">
      <alignment horizontal="center" vertical="center"/>
    </xf>
    <xf numFmtId="0" fontId="2" fillId="8" borderId="45" xfId="0" applyFont="1" applyFill="1" applyBorder="1" applyAlignment="1">
      <alignment horizontal="center" vertical="center"/>
    </xf>
    <xf numFmtId="0" fontId="11" fillId="9" borderId="44" xfId="0" applyFont="1" applyFill="1" applyBorder="1" applyAlignment="1">
      <alignment horizontal="center" vertical="center"/>
    </xf>
    <xf numFmtId="0" fontId="11" fillId="9" borderId="42" xfId="0" applyFont="1" applyFill="1" applyBorder="1" applyAlignment="1">
      <alignment horizontal="center" vertical="center"/>
    </xf>
    <xf numFmtId="0" fontId="11" fillId="9" borderId="43" xfId="0" applyFont="1" applyFill="1" applyBorder="1" applyAlignment="1">
      <alignment horizontal="center" vertical="center"/>
    </xf>
    <xf numFmtId="0" fontId="2" fillId="8" borderId="65" xfId="0" applyFont="1" applyFill="1" applyBorder="1" applyAlignment="1">
      <alignment horizontal="center" vertical="center"/>
    </xf>
    <xf numFmtId="0" fontId="12" fillId="0" borderId="0" xfId="0" applyFont="1"/>
    <xf numFmtId="0" fontId="2" fillId="15" borderId="66" xfId="0" applyFont="1" applyFill="1" applyBorder="1" applyAlignment="1">
      <alignment horizontal="center" vertical="center"/>
    </xf>
    <xf numFmtId="0" fontId="2" fillId="15" borderId="65" xfId="0" applyFont="1" applyFill="1" applyBorder="1" applyAlignment="1">
      <alignment horizontal="center" vertical="center"/>
    </xf>
    <xf numFmtId="0" fontId="11" fillId="15" borderId="66" xfId="0" applyFont="1" applyFill="1" applyBorder="1" applyAlignment="1">
      <alignment horizontal="center" vertical="center"/>
    </xf>
    <xf numFmtId="0" fontId="2" fillId="15" borderId="62" xfId="0" applyFont="1" applyFill="1" applyBorder="1" applyAlignment="1">
      <alignment horizontal="center" vertical="center"/>
    </xf>
    <xf numFmtId="0" fontId="2" fillId="15" borderId="54" xfId="0" applyFont="1" applyFill="1" applyBorder="1" applyAlignment="1">
      <alignment horizontal="center" vertical="center"/>
    </xf>
    <xf numFmtId="0" fontId="2" fillId="15" borderId="52" xfId="0" applyFont="1" applyFill="1" applyBorder="1" applyAlignment="1">
      <alignment horizontal="center" vertical="center"/>
    </xf>
    <xf numFmtId="0" fontId="2" fillId="15" borderId="53" xfId="0" applyFont="1" applyFill="1" applyBorder="1" applyAlignment="1">
      <alignment horizontal="center" vertical="center"/>
    </xf>
    <xf numFmtId="0" fontId="2" fillId="15" borderId="55" xfId="0" applyFont="1" applyFill="1" applyBorder="1" applyAlignment="1">
      <alignment horizontal="center" vertical="center"/>
    </xf>
    <xf numFmtId="0" fontId="4" fillId="9" borderId="61" xfId="0" applyFont="1" applyFill="1" applyBorder="1" applyAlignment="1">
      <alignment horizontal="center"/>
    </xf>
    <xf numFmtId="0" fontId="11" fillId="15" borderId="65" xfId="0" applyFont="1" applyFill="1" applyBorder="1" applyAlignment="1">
      <alignment horizontal="center" vertical="center"/>
    </xf>
    <xf numFmtId="0" fontId="10" fillId="12" borderId="45" xfId="0" applyFont="1" applyFill="1" applyBorder="1" applyAlignment="1">
      <alignment horizontal="center" vertical="center"/>
    </xf>
    <xf numFmtId="0" fontId="4" fillId="9" borderId="24" xfId="0" applyFont="1" applyFill="1" applyBorder="1" applyAlignment="1">
      <alignment horizontal="center"/>
    </xf>
    <xf numFmtId="0" fontId="2" fillId="16" borderId="66" xfId="0" applyFont="1" applyFill="1" applyBorder="1" applyAlignment="1">
      <alignment horizontal="center" vertical="center"/>
    </xf>
    <xf numFmtId="0" fontId="2" fillId="16" borderId="65" xfId="0" applyFont="1" applyFill="1" applyBorder="1" applyAlignment="1">
      <alignment horizontal="center" vertical="center"/>
    </xf>
    <xf numFmtId="0" fontId="2" fillId="16" borderId="62" xfId="0" applyFont="1" applyFill="1" applyBorder="1" applyAlignment="1">
      <alignment horizontal="center" vertical="center"/>
    </xf>
    <xf numFmtId="0" fontId="14" fillId="15" borderId="7" xfId="0" applyFont="1" applyFill="1" applyBorder="1"/>
    <xf numFmtId="0" fontId="14" fillId="16" borderId="7" xfId="0" applyFont="1" applyFill="1" applyBorder="1"/>
    <xf numFmtId="0" fontId="14" fillId="15" borderId="5" xfId="0" applyFont="1" applyFill="1" applyBorder="1"/>
    <xf numFmtId="0" fontId="4" fillId="4" borderId="79" xfId="0" applyFont="1" applyFill="1" applyBorder="1" applyAlignment="1">
      <alignment horizontal="center"/>
    </xf>
    <xf numFmtId="0" fontId="4" fillId="7" borderId="64" xfId="0" applyFont="1" applyFill="1" applyBorder="1" applyAlignment="1">
      <alignment horizontal="center"/>
    </xf>
    <xf numFmtId="0" fontId="4" fillId="6" borderId="64" xfId="0" applyFont="1" applyFill="1" applyBorder="1" applyAlignment="1">
      <alignment horizontal="center"/>
    </xf>
    <xf numFmtId="0" fontId="4" fillId="9" borderId="49" xfId="0" applyFont="1" applyFill="1" applyBorder="1" applyAlignment="1">
      <alignment horizontal="center"/>
    </xf>
    <xf numFmtId="0" fontId="11" fillId="16" borderId="65" xfId="0" applyFont="1" applyFill="1" applyBorder="1" applyAlignment="1">
      <alignment horizontal="center" vertical="center"/>
    </xf>
    <xf numFmtId="0" fontId="11" fillId="16" borderId="66" xfId="0" applyFont="1" applyFill="1" applyBorder="1" applyAlignment="1">
      <alignment horizontal="center" vertical="center"/>
    </xf>
    <xf numFmtId="0" fontId="2" fillId="9" borderId="42" xfId="0" applyFont="1" applyFill="1" applyBorder="1" applyAlignment="1">
      <alignment horizontal="left" vertical="center"/>
    </xf>
    <xf numFmtId="0" fontId="2" fillId="0" borderId="14" xfId="0" applyFont="1" applyBorder="1" applyAlignment="1">
      <alignment horizontal="center" vertical="center"/>
    </xf>
    <xf numFmtId="0" fontId="2" fillId="0" borderId="47" xfId="0" applyFont="1" applyBorder="1" applyAlignment="1">
      <alignment horizontal="center" vertical="center"/>
    </xf>
    <xf numFmtId="0" fontId="2" fillId="0" borderId="16" xfId="0" applyFont="1" applyBorder="1" applyAlignment="1">
      <alignment horizontal="center" vertical="center"/>
    </xf>
    <xf numFmtId="0" fontId="2" fillId="0" borderId="20" xfId="0" applyFont="1" applyBorder="1" applyAlignment="1">
      <alignment horizontal="center" vertical="center"/>
    </xf>
    <xf numFmtId="0" fontId="2" fillId="0" borderId="18" xfId="0" applyFont="1" applyBorder="1" applyAlignment="1">
      <alignment horizontal="center" vertical="center"/>
    </xf>
    <xf numFmtId="0" fontId="2" fillId="0" borderId="17" xfId="0" applyFont="1" applyBorder="1" applyAlignment="1">
      <alignment horizontal="center" vertical="center"/>
    </xf>
    <xf numFmtId="0" fontId="2" fillId="0" borderId="13" xfId="0" applyFont="1" applyBorder="1" applyAlignment="1">
      <alignment horizontal="center" vertical="center"/>
    </xf>
    <xf numFmtId="0" fontId="2" fillId="0" borderId="0" xfId="0" applyFont="1" applyAlignment="1">
      <alignment horizontal="center" vertical="center"/>
    </xf>
    <xf numFmtId="0" fontId="2" fillId="0" borderId="15" xfId="0" applyFont="1" applyBorder="1" applyAlignment="1">
      <alignment horizontal="center" vertical="center"/>
    </xf>
    <xf numFmtId="0" fontId="2" fillId="0" borderId="7" xfId="0" applyFont="1" applyBorder="1" applyAlignment="1">
      <alignment horizontal="center" vertical="center"/>
    </xf>
    <xf numFmtId="0" fontId="2" fillId="0" borderId="74" xfId="0" applyFont="1" applyBorder="1" applyAlignment="1">
      <alignment horizontal="center" vertical="center"/>
    </xf>
    <xf numFmtId="0" fontId="2" fillId="0" borderId="71" xfId="0" applyFont="1" applyBorder="1" applyAlignment="1">
      <alignment horizontal="center" vertical="center"/>
    </xf>
    <xf numFmtId="0" fontId="2" fillId="0" borderId="72" xfId="0" applyFont="1" applyBorder="1" applyAlignment="1">
      <alignment horizontal="center" vertical="center"/>
    </xf>
    <xf numFmtId="0" fontId="2" fillId="14" borderId="17" xfId="0" applyFont="1" applyFill="1" applyBorder="1" applyAlignment="1">
      <alignment horizontal="center" vertical="center"/>
    </xf>
    <xf numFmtId="0" fontId="2" fillId="8" borderId="17" xfId="0" applyFont="1" applyFill="1" applyBorder="1" applyAlignment="1">
      <alignment horizontal="center" vertical="center"/>
    </xf>
    <xf numFmtId="0" fontId="3" fillId="0" borderId="0" xfId="2" applyFont="1" applyFill="1" applyBorder="1" applyAlignment="1">
      <alignment horizontal="center"/>
    </xf>
    <xf numFmtId="0" fontId="4" fillId="0" borderId="0" xfId="0" applyFont="1" applyAlignment="1">
      <alignment vertical="top"/>
    </xf>
    <xf numFmtId="0" fontId="5" fillId="0" borderId="0" xfId="0" applyFont="1" applyAlignment="1">
      <alignment vertical="top"/>
    </xf>
    <xf numFmtId="0" fontId="14" fillId="0" borderId="78" xfId="0" applyFont="1" applyBorder="1" applyAlignment="1">
      <alignment vertical="top"/>
    </xf>
    <xf numFmtId="0" fontId="2" fillId="12" borderId="17" xfId="0" applyFont="1" applyFill="1" applyBorder="1" applyAlignment="1">
      <alignment horizontal="center" vertical="center"/>
    </xf>
    <xf numFmtId="0" fontId="16" fillId="0" borderId="7" xfId="0" applyFont="1" applyBorder="1" applyAlignment="1">
      <alignment horizontal="center"/>
    </xf>
    <xf numFmtId="0" fontId="2" fillId="15" borderId="10" xfId="0" applyFont="1" applyFill="1" applyBorder="1" applyAlignment="1">
      <alignment horizontal="center" vertical="center"/>
    </xf>
    <xf numFmtId="0" fontId="2" fillId="0" borderId="56" xfId="0" applyFont="1" applyBorder="1" applyAlignment="1">
      <alignment horizontal="center" vertical="center"/>
    </xf>
    <xf numFmtId="0" fontId="3" fillId="0" borderId="0" xfId="0" applyFont="1"/>
    <xf numFmtId="0" fontId="11" fillId="14" borderId="13" xfId="0" applyFont="1" applyFill="1" applyBorder="1" applyAlignment="1">
      <alignment horizontal="center" vertical="center"/>
    </xf>
    <xf numFmtId="0" fontId="2" fillId="15" borderId="60" xfId="0" applyFont="1" applyFill="1" applyBorder="1" applyAlignment="1">
      <alignment horizontal="center" vertical="center"/>
    </xf>
    <xf numFmtId="0" fontId="2" fillId="15" borderId="40" xfId="0" applyFont="1" applyFill="1" applyBorder="1" applyAlignment="1">
      <alignment horizontal="center" vertical="center"/>
    </xf>
    <xf numFmtId="0" fontId="2" fillId="15" borderId="37" xfId="0" applyFont="1" applyFill="1" applyBorder="1" applyAlignment="1">
      <alignment horizontal="center" vertical="center"/>
    </xf>
    <xf numFmtId="0" fontId="2" fillId="12" borderId="37" xfId="0" applyFont="1" applyFill="1" applyBorder="1" applyAlignment="1">
      <alignment horizontal="center" vertical="center"/>
    </xf>
    <xf numFmtId="0" fontId="2" fillId="15" borderId="41" xfId="0" applyFont="1" applyFill="1" applyBorder="1" applyAlignment="1">
      <alignment horizontal="center" vertical="center"/>
    </xf>
    <xf numFmtId="0" fontId="2" fillId="15" borderId="38" xfId="0" applyFont="1" applyFill="1" applyBorder="1" applyAlignment="1">
      <alignment horizontal="center" vertical="center"/>
    </xf>
    <xf numFmtId="0" fontId="2" fillId="12" borderId="13" xfId="0" applyFont="1" applyFill="1" applyBorder="1" applyAlignment="1">
      <alignment horizontal="center" vertical="center"/>
    </xf>
    <xf numFmtId="0" fontId="2" fillId="12" borderId="40" xfId="0" applyFont="1" applyFill="1" applyBorder="1" applyAlignment="1">
      <alignment horizontal="center" vertical="center"/>
    </xf>
    <xf numFmtId="0" fontId="2" fillId="12" borderId="38" xfId="0" applyFont="1" applyFill="1" applyBorder="1" applyAlignment="1">
      <alignment horizontal="center" vertical="center"/>
    </xf>
    <xf numFmtId="0" fontId="5" fillId="15" borderId="19" xfId="0" applyFont="1" applyFill="1" applyBorder="1"/>
    <xf numFmtId="0" fontId="11" fillId="14" borderId="16" xfId="0" applyFont="1" applyFill="1" applyBorder="1" applyAlignment="1">
      <alignment horizontal="center" vertical="center"/>
    </xf>
    <xf numFmtId="0" fontId="2" fillId="8" borderId="38" xfId="0" applyFont="1" applyFill="1" applyBorder="1" applyAlignment="1">
      <alignment horizontal="center" vertical="center"/>
    </xf>
    <xf numFmtId="0" fontId="2" fillId="16" borderId="52" xfId="0" applyFont="1" applyFill="1" applyBorder="1" applyAlignment="1">
      <alignment horizontal="center" vertical="center"/>
    </xf>
    <xf numFmtId="0" fontId="2" fillId="16" borderId="53" xfId="0" applyFont="1" applyFill="1" applyBorder="1" applyAlignment="1">
      <alignment horizontal="center" vertical="center"/>
    </xf>
    <xf numFmtId="0" fontId="2" fillId="16" borderId="54" xfId="0" applyFont="1" applyFill="1" applyBorder="1" applyAlignment="1">
      <alignment horizontal="center" vertical="center"/>
    </xf>
    <xf numFmtId="0" fontId="2" fillId="16" borderId="55" xfId="0" applyFont="1" applyFill="1" applyBorder="1" applyAlignment="1">
      <alignment horizontal="center" vertical="center"/>
    </xf>
    <xf numFmtId="0" fontId="5" fillId="16" borderId="5" xfId="0" applyFont="1" applyFill="1" applyBorder="1"/>
    <xf numFmtId="165" fontId="4" fillId="15" borderId="69" xfId="0" applyNumberFormat="1" applyFont="1" applyFill="1" applyBorder="1" applyAlignment="1">
      <alignment horizontal="center"/>
    </xf>
    <xf numFmtId="164" fontId="4" fillId="15" borderId="4" xfId="0" applyNumberFormat="1" applyFont="1" applyFill="1" applyBorder="1" applyAlignment="1">
      <alignment horizontal="center"/>
    </xf>
    <xf numFmtId="166" fontId="4" fillId="15" borderId="4" xfId="0" applyNumberFormat="1" applyFont="1" applyFill="1" applyBorder="1" applyAlignment="1">
      <alignment horizontal="center"/>
    </xf>
    <xf numFmtId="165" fontId="4" fillId="15" borderId="85" xfId="0" applyNumberFormat="1" applyFont="1" applyFill="1" applyBorder="1" applyAlignment="1">
      <alignment horizontal="center"/>
    </xf>
    <xf numFmtId="164" fontId="4" fillId="15" borderId="22" xfId="0" applyNumberFormat="1" applyFont="1" applyFill="1" applyBorder="1" applyAlignment="1">
      <alignment horizontal="center"/>
    </xf>
    <xf numFmtId="166" fontId="4" fillId="15" borderId="22" xfId="0" applyNumberFormat="1" applyFont="1" applyFill="1" applyBorder="1" applyAlignment="1">
      <alignment horizontal="center"/>
    </xf>
    <xf numFmtId="0" fontId="2" fillId="16" borderId="38" xfId="0" applyFont="1" applyFill="1" applyBorder="1" applyAlignment="1">
      <alignment horizontal="center" vertical="center"/>
    </xf>
    <xf numFmtId="0" fontId="2" fillId="16" borderId="37" xfId="0" applyFont="1" applyFill="1" applyBorder="1" applyAlignment="1">
      <alignment horizontal="center" vertical="center"/>
    </xf>
    <xf numFmtId="0" fontId="2" fillId="16" borderId="41" xfId="0" applyFont="1" applyFill="1" applyBorder="1" applyAlignment="1">
      <alignment horizontal="center" vertical="center"/>
    </xf>
    <xf numFmtId="0" fontId="5" fillId="16" borderId="19" xfId="0" applyFont="1" applyFill="1" applyBorder="1"/>
    <xf numFmtId="0" fontId="2" fillId="16" borderId="40" xfId="0" applyFont="1" applyFill="1" applyBorder="1" applyAlignment="1">
      <alignment horizontal="center" vertical="center"/>
    </xf>
    <xf numFmtId="0" fontId="17" fillId="14" borderId="7" xfId="0" applyFont="1" applyFill="1" applyBorder="1"/>
    <xf numFmtId="0" fontId="10" fillId="12" borderId="42" xfId="0" applyFont="1" applyFill="1" applyBorder="1" applyAlignment="1">
      <alignment horizontal="left" vertical="center"/>
    </xf>
    <xf numFmtId="0" fontId="17" fillId="14" borderId="75" xfId="0" applyFont="1" applyFill="1" applyBorder="1"/>
    <xf numFmtId="0" fontId="2" fillId="8" borderId="44" xfId="0" applyFont="1" applyFill="1" applyBorder="1" applyAlignment="1">
      <alignment horizontal="center" vertical="center"/>
    </xf>
    <xf numFmtId="0" fontId="4" fillId="14" borderId="0" xfId="0" applyFont="1" applyFill="1"/>
    <xf numFmtId="0" fontId="2" fillId="12" borderId="65" xfId="0" applyFont="1" applyFill="1" applyBorder="1" applyAlignment="1">
      <alignment horizontal="left" vertical="center"/>
    </xf>
    <xf numFmtId="0" fontId="2" fillId="0" borderId="75" xfId="0" applyFont="1" applyBorder="1" applyAlignment="1">
      <alignment horizontal="center" vertical="center"/>
    </xf>
    <xf numFmtId="0" fontId="2" fillId="0" borderId="73" xfId="0" applyFont="1" applyBorder="1" applyAlignment="1">
      <alignment horizontal="center" vertical="center"/>
    </xf>
    <xf numFmtId="0" fontId="2" fillId="0" borderId="89" xfId="0" applyFont="1" applyBorder="1" applyAlignment="1">
      <alignment horizontal="center" vertical="center"/>
    </xf>
    <xf numFmtId="0" fontId="2" fillId="0" borderId="57" xfId="0" applyFont="1" applyBorder="1" applyAlignment="1">
      <alignment horizontal="center" vertical="center"/>
    </xf>
    <xf numFmtId="0" fontId="16" fillId="0" borderId="76" xfId="0" applyFont="1" applyBorder="1" applyAlignment="1">
      <alignment horizontal="center"/>
    </xf>
    <xf numFmtId="0" fontId="3" fillId="0" borderId="7" xfId="0" applyFont="1" applyBorder="1" applyAlignment="1">
      <alignment horizontal="center"/>
    </xf>
    <xf numFmtId="0" fontId="2" fillId="8" borderId="37" xfId="0" applyFont="1" applyFill="1" applyBorder="1" applyAlignment="1">
      <alignment horizontal="center" vertical="center"/>
    </xf>
    <xf numFmtId="0" fontId="2" fillId="8" borderId="66" xfId="0" applyFont="1" applyFill="1" applyBorder="1" applyAlignment="1">
      <alignment horizontal="center" vertical="center"/>
    </xf>
    <xf numFmtId="0" fontId="3" fillId="2" borderId="26" xfId="0" applyFont="1" applyFill="1" applyBorder="1" applyAlignment="1">
      <alignment horizontal="center" vertical="center" wrapText="1"/>
    </xf>
    <xf numFmtId="0" fontId="4" fillId="15" borderId="22" xfId="0" applyFont="1" applyFill="1" applyBorder="1" applyAlignment="1">
      <alignment horizontal="center"/>
    </xf>
    <xf numFmtId="0" fontId="4" fillId="15" borderId="4" xfId="0" applyFont="1" applyFill="1" applyBorder="1" applyAlignment="1">
      <alignment horizontal="center"/>
    </xf>
    <xf numFmtId="0" fontId="2" fillId="15" borderId="65" xfId="0" applyFont="1" applyFill="1" applyBorder="1" applyAlignment="1">
      <alignment horizontal="left" vertical="center"/>
    </xf>
    <xf numFmtId="0" fontId="2" fillId="15" borderId="23" xfId="0" applyFont="1" applyFill="1" applyBorder="1" applyAlignment="1">
      <alignment horizontal="center" vertical="center"/>
    </xf>
    <xf numFmtId="0" fontId="11" fillId="15" borderId="65" xfId="0" applyFont="1" applyFill="1" applyBorder="1" applyAlignment="1">
      <alignment horizontal="left" vertical="center"/>
    </xf>
    <xf numFmtId="0" fontId="2" fillId="8" borderId="20" xfId="0" applyFont="1" applyFill="1" applyBorder="1" applyAlignment="1">
      <alignment horizontal="center" vertical="center"/>
    </xf>
    <xf numFmtId="0" fontId="2" fillId="12" borderId="66" xfId="0" applyFont="1" applyFill="1" applyBorder="1" applyAlignment="1">
      <alignment horizontal="left" vertical="center"/>
    </xf>
    <xf numFmtId="0" fontId="2" fillId="15" borderId="66" xfId="0" applyFont="1" applyFill="1" applyBorder="1" applyAlignment="1">
      <alignment horizontal="left" vertical="center"/>
    </xf>
    <xf numFmtId="0" fontId="2" fillId="16" borderId="66" xfId="0" applyFont="1" applyFill="1" applyBorder="1" applyAlignment="1">
      <alignment horizontal="left" vertical="center"/>
    </xf>
    <xf numFmtId="0" fontId="2" fillId="14" borderId="56" xfId="0" applyFont="1" applyFill="1" applyBorder="1" applyAlignment="1">
      <alignment horizontal="center" vertical="center"/>
    </xf>
    <xf numFmtId="0" fontId="11" fillId="15" borderId="66" xfId="0" applyFont="1" applyFill="1" applyBorder="1" applyAlignment="1">
      <alignment horizontal="left" vertical="center"/>
    </xf>
    <xf numFmtId="0" fontId="2" fillId="16" borderId="65" xfId="0" applyFont="1" applyFill="1" applyBorder="1" applyAlignment="1">
      <alignment horizontal="left" vertical="center"/>
    </xf>
    <xf numFmtId="0" fontId="11" fillId="16" borderId="65" xfId="0" applyFont="1" applyFill="1" applyBorder="1" applyAlignment="1">
      <alignment horizontal="left" vertical="center"/>
    </xf>
    <xf numFmtId="0" fontId="2" fillId="8" borderId="65" xfId="0" applyFont="1" applyFill="1" applyBorder="1" applyAlignment="1">
      <alignment horizontal="left" vertical="center"/>
    </xf>
    <xf numFmtId="0" fontId="11" fillId="16" borderId="62" xfId="0" applyFont="1" applyFill="1" applyBorder="1" applyAlignment="1">
      <alignment horizontal="left" vertical="center"/>
    </xf>
    <xf numFmtId="0" fontId="2" fillId="15" borderId="62" xfId="0" applyFont="1" applyFill="1" applyBorder="1" applyAlignment="1">
      <alignment horizontal="left" vertical="center"/>
    </xf>
    <xf numFmtId="0" fontId="11" fillId="15" borderId="62" xfId="0" applyFont="1" applyFill="1" applyBorder="1" applyAlignment="1">
      <alignment horizontal="left" vertical="center"/>
    </xf>
    <xf numFmtId="0" fontId="2" fillId="14" borderId="18" xfId="0" applyFont="1" applyFill="1" applyBorder="1" applyAlignment="1">
      <alignment horizontal="center" vertical="center"/>
    </xf>
    <xf numFmtId="0" fontId="2" fillId="8" borderId="42" xfId="0" applyFont="1" applyFill="1" applyBorder="1" applyAlignment="1">
      <alignment horizontal="left" vertical="center"/>
    </xf>
    <xf numFmtId="0" fontId="2" fillId="14" borderId="20" xfId="0" applyFont="1" applyFill="1" applyBorder="1" applyAlignment="1">
      <alignment horizontal="center" vertical="center"/>
    </xf>
    <xf numFmtId="0" fontId="2" fillId="15" borderId="37" xfId="0" applyFont="1" applyFill="1" applyBorder="1" applyAlignment="1">
      <alignment horizontal="left" vertical="center"/>
    </xf>
    <xf numFmtId="0" fontId="2" fillId="12" borderId="68" xfId="0" applyFont="1" applyFill="1" applyBorder="1" applyAlignment="1">
      <alignment horizontal="left" vertical="center"/>
    </xf>
    <xf numFmtId="0" fontId="2" fillId="8" borderId="66" xfId="0" applyFont="1" applyFill="1" applyBorder="1" applyAlignment="1">
      <alignment horizontal="left" vertical="center"/>
    </xf>
    <xf numFmtId="0" fontId="2" fillId="8" borderId="62" xfId="0" applyFont="1" applyFill="1" applyBorder="1" applyAlignment="1">
      <alignment horizontal="center" vertical="center"/>
    </xf>
    <xf numFmtId="0" fontId="2" fillId="11" borderId="65" xfId="0" applyFont="1" applyFill="1" applyBorder="1" applyAlignment="1">
      <alignment horizontal="left" vertical="center"/>
    </xf>
    <xf numFmtId="0" fontId="2" fillId="0" borderId="95" xfId="0" applyFont="1" applyBorder="1" applyAlignment="1">
      <alignment horizontal="center" vertical="center"/>
    </xf>
    <xf numFmtId="0" fontId="2" fillId="14" borderId="14" xfId="0" applyFont="1" applyFill="1" applyBorder="1" applyAlignment="1">
      <alignment horizontal="center" vertical="center"/>
    </xf>
    <xf numFmtId="0" fontId="2" fillId="14" borderId="47" xfId="0" applyFont="1" applyFill="1" applyBorder="1" applyAlignment="1">
      <alignment horizontal="center" vertical="center"/>
    </xf>
    <xf numFmtId="0" fontId="11" fillId="16" borderId="66" xfId="0" applyFont="1" applyFill="1" applyBorder="1" applyAlignment="1">
      <alignment horizontal="left" vertical="center"/>
    </xf>
    <xf numFmtId="0" fontId="2" fillId="12" borderId="62" xfId="0" applyFont="1" applyFill="1" applyBorder="1" applyAlignment="1">
      <alignment horizontal="left" vertical="center"/>
    </xf>
    <xf numFmtId="0" fontId="2" fillId="8" borderId="68" xfId="0" applyFont="1" applyFill="1" applyBorder="1" applyAlignment="1">
      <alignment horizontal="left" vertical="center"/>
    </xf>
    <xf numFmtId="0" fontId="2" fillId="8" borderId="62" xfId="0" applyFont="1" applyFill="1" applyBorder="1" applyAlignment="1">
      <alignment horizontal="left" vertical="center"/>
    </xf>
    <xf numFmtId="0" fontId="4" fillId="2" borderId="1" xfId="0" applyFont="1" applyFill="1" applyBorder="1" applyAlignment="1">
      <alignment horizontal="center" vertical="top"/>
    </xf>
    <xf numFmtId="0" fontId="2" fillId="9" borderId="97" xfId="0" applyFont="1" applyFill="1" applyBorder="1" applyAlignment="1">
      <alignment horizontal="center" vertical="center"/>
    </xf>
    <xf numFmtId="0" fontId="2" fillId="13" borderId="66" xfId="0" applyFont="1" applyFill="1" applyBorder="1" applyAlignment="1">
      <alignment horizontal="left" vertical="center"/>
    </xf>
    <xf numFmtId="0" fontId="2" fillId="15" borderId="68" xfId="0" applyFont="1" applyFill="1" applyBorder="1" applyAlignment="1">
      <alignment horizontal="left" vertical="center"/>
    </xf>
    <xf numFmtId="0" fontId="2" fillId="8" borderId="40" xfId="0" applyFont="1" applyFill="1" applyBorder="1" applyAlignment="1">
      <alignment horizontal="center" vertical="center"/>
    </xf>
    <xf numFmtId="0" fontId="2" fillId="8" borderId="43" xfId="0" applyFont="1" applyFill="1" applyBorder="1" applyAlignment="1">
      <alignment horizontal="center" vertical="center"/>
    </xf>
    <xf numFmtId="0" fontId="11" fillId="16" borderId="52" xfId="0" applyFont="1" applyFill="1" applyBorder="1" applyAlignment="1">
      <alignment horizontal="center" vertical="center"/>
    </xf>
    <xf numFmtId="0" fontId="2" fillId="11" borderId="81" xfId="0" applyFont="1" applyFill="1" applyBorder="1" applyAlignment="1">
      <alignment horizontal="left" vertical="center"/>
    </xf>
    <xf numFmtId="0" fontId="2" fillId="16" borderId="62" xfId="0" applyFont="1" applyFill="1" applyBorder="1" applyAlignment="1">
      <alignment horizontal="left" vertical="center"/>
    </xf>
    <xf numFmtId="0" fontId="11" fillId="15" borderId="68" xfId="0" applyFont="1" applyFill="1" applyBorder="1" applyAlignment="1">
      <alignment horizontal="left" vertical="center"/>
    </xf>
    <xf numFmtId="0" fontId="4" fillId="14" borderId="0" xfId="0" applyFont="1" applyFill="1" applyAlignment="1">
      <alignment horizontal="left"/>
    </xf>
    <xf numFmtId="0" fontId="4" fillId="14" borderId="0" xfId="0" applyFont="1" applyFill="1" applyAlignment="1">
      <alignment horizontal="center"/>
    </xf>
    <xf numFmtId="0" fontId="4" fillId="11" borderId="0" xfId="0" applyFont="1" applyFill="1" applyAlignment="1">
      <alignment horizontal="center"/>
    </xf>
    <xf numFmtId="0" fontId="4" fillId="13" borderId="0" xfId="0" applyFont="1" applyFill="1" applyAlignment="1">
      <alignment horizontal="center"/>
    </xf>
    <xf numFmtId="0" fontId="5" fillId="3" borderId="26" xfId="0" applyFont="1" applyFill="1" applyBorder="1" applyAlignment="1">
      <alignment horizontal="center" vertical="center"/>
    </xf>
    <xf numFmtId="0" fontId="2" fillId="0" borderId="12" xfId="0" applyFont="1" applyBorder="1" applyAlignment="1">
      <alignment horizontal="center" vertical="center"/>
    </xf>
    <xf numFmtId="0" fontId="2" fillId="16" borderId="58" xfId="0" applyFont="1" applyFill="1" applyBorder="1" applyAlignment="1">
      <alignment horizontal="center" vertical="center"/>
    </xf>
    <xf numFmtId="0" fontId="2" fillId="15" borderId="81" xfId="0" applyFont="1" applyFill="1" applyBorder="1" applyAlignment="1">
      <alignment horizontal="center" vertical="center"/>
    </xf>
    <xf numFmtId="0" fontId="2" fillId="16" borderId="81" xfId="0" applyFont="1" applyFill="1" applyBorder="1" applyAlignment="1">
      <alignment horizontal="center" vertical="center"/>
    </xf>
    <xf numFmtId="0" fontId="2" fillId="0" borderId="102" xfId="0" applyFont="1" applyBorder="1" applyAlignment="1">
      <alignment horizontal="center" vertical="center"/>
    </xf>
    <xf numFmtId="0" fontId="2" fillId="0" borderId="103" xfId="0" applyFont="1" applyBorder="1" applyAlignment="1">
      <alignment horizontal="center" vertical="center"/>
    </xf>
    <xf numFmtId="0" fontId="2" fillId="15" borderId="21" xfId="0" applyFont="1" applyFill="1" applyBorder="1" applyAlignment="1">
      <alignment horizontal="center" vertical="center"/>
    </xf>
    <xf numFmtId="0" fontId="2" fillId="0" borderId="84" xfId="0" applyFont="1" applyBorder="1" applyAlignment="1">
      <alignment horizontal="center" vertical="center"/>
    </xf>
    <xf numFmtId="0" fontId="2" fillId="16" borderId="21" xfId="0" applyFont="1" applyFill="1" applyBorder="1" applyAlignment="1">
      <alignment horizontal="center" vertical="center"/>
    </xf>
    <xf numFmtId="0" fontId="2" fillId="9" borderId="101" xfId="0" applyFont="1" applyFill="1" applyBorder="1" applyAlignment="1">
      <alignment horizontal="center" vertical="center"/>
    </xf>
    <xf numFmtId="0" fontId="2" fillId="15" borderId="58" xfId="0" applyFont="1" applyFill="1" applyBorder="1" applyAlignment="1">
      <alignment horizontal="center" vertical="center"/>
    </xf>
    <xf numFmtId="0" fontId="2" fillId="8" borderId="102" xfId="0" applyFont="1" applyFill="1" applyBorder="1" applyAlignment="1">
      <alignment horizontal="center" vertical="center"/>
    </xf>
    <xf numFmtId="0" fontId="2" fillId="8" borderId="101" xfId="0" applyFont="1" applyFill="1" applyBorder="1" applyAlignment="1">
      <alignment horizontal="center" vertical="center"/>
    </xf>
    <xf numFmtId="0" fontId="11" fillId="15" borderId="81" xfId="0" applyFont="1" applyFill="1" applyBorder="1" applyAlignment="1">
      <alignment horizontal="center" vertical="center"/>
    </xf>
    <xf numFmtId="0" fontId="11" fillId="16" borderId="81" xfId="0" applyFont="1" applyFill="1" applyBorder="1" applyAlignment="1">
      <alignment horizontal="center" vertical="center"/>
    </xf>
    <xf numFmtId="0" fontId="2" fillId="15" borderId="99" xfId="0" applyFont="1" applyFill="1" applyBorder="1" applyAlignment="1">
      <alignment horizontal="center" vertical="center"/>
    </xf>
    <xf numFmtId="0" fontId="2" fillId="16" borderId="99" xfId="0" applyFont="1" applyFill="1" applyBorder="1" applyAlignment="1">
      <alignment horizontal="center" vertical="center"/>
    </xf>
    <xf numFmtId="0" fontId="2" fillId="15" borderId="104" xfId="0" applyFont="1" applyFill="1" applyBorder="1" applyAlignment="1">
      <alignment horizontal="center" vertical="center"/>
    </xf>
    <xf numFmtId="0" fontId="2" fillId="15" borderId="106" xfId="0" applyFont="1" applyFill="1" applyBorder="1" applyAlignment="1">
      <alignment horizontal="center" vertical="center"/>
    </xf>
    <xf numFmtId="0" fontId="2" fillId="15" borderId="98" xfId="0" applyFont="1" applyFill="1" applyBorder="1" applyAlignment="1">
      <alignment horizontal="center" vertical="center"/>
    </xf>
    <xf numFmtId="0" fontId="2" fillId="8" borderId="99" xfId="0" applyFont="1" applyFill="1" applyBorder="1" applyAlignment="1">
      <alignment horizontal="left" vertical="center"/>
    </xf>
    <xf numFmtId="0" fontId="11" fillId="15" borderId="99" xfId="0" applyFont="1" applyFill="1" applyBorder="1" applyAlignment="1">
      <alignment horizontal="center" vertical="center"/>
    </xf>
    <xf numFmtId="0" fontId="11" fillId="16" borderId="99" xfId="0" applyFont="1" applyFill="1" applyBorder="1" applyAlignment="1">
      <alignment horizontal="center" vertical="center"/>
    </xf>
    <xf numFmtId="0" fontId="2" fillId="8" borderId="104" xfId="0" applyFont="1" applyFill="1" applyBorder="1" applyAlignment="1">
      <alignment horizontal="center" vertical="center"/>
    </xf>
    <xf numFmtId="0" fontId="2" fillId="8" borderId="13" xfId="0" applyFont="1" applyFill="1" applyBorder="1" applyAlignment="1">
      <alignment horizontal="center" vertical="center"/>
    </xf>
    <xf numFmtId="0" fontId="2" fillId="8" borderId="99" xfId="0" applyFont="1" applyFill="1" applyBorder="1" applyAlignment="1">
      <alignment horizontal="center" vertical="center"/>
    </xf>
    <xf numFmtId="0" fontId="2" fillId="0" borderId="93" xfId="0" applyFont="1" applyBorder="1" applyAlignment="1">
      <alignment horizontal="center" vertical="center"/>
    </xf>
    <xf numFmtId="0" fontId="2" fillId="8" borderId="81" xfId="0" applyFont="1" applyFill="1" applyBorder="1" applyAlignment="1">
      <alignment horizontal="left" vertical="center"/>
    </xf>
    <xf numFmtId="0" fontId="2" fillId="8" borderId="21" xfId="0" applyFont="1" applyFill="1" applyBorder="1" applyAlignment="1">
      <alignment horizontal="center" vertical="center"/>
    </xf>
    <xf numFmtId="0" fontId="2" fillId="15" borderId="81" xfId="0" applyFont="1" applyFill="1" applyBorder="1" applyAlignment="1">
      <alignment horizontal="left" vertical="center"/>
    </xf>
    <xf numFmtId="0" fontId="2" fillId="16" borderId="99" xfId="0" applyFont="1" applyFill="1" applyBorder="1" applyAlignment="1">
      <alignment horizontal="left" vertical="center"/>
    </xf>
    <xf numFmtId="0" fontId="2" fillId="0" borderId="94" xfId="0" applyFont="1" applyBorder="1" applyAlignment="1">
      <alignment horizontal="center" vertical="center"/>
    </xf>
    <xf numFmtId="0" fontId="5" fillId="3" borderId="33" xfId="0" applyFont="1" applyFill="1" applyBorder="1" applyAlignment="1">
      <alignment horizontal="center" vertical="center"/>
    </xf>
    <xf numFmtId="0" fontId="11" fillId="15" borderId="81" xfId="0" applyFont="1" applyFill="1" applyBorder="1" applyAlignment="1">
      <alignment horizontal="left" vertical="center"/>
    </xf>
    <xf numFmtId="0" fontId="2" fillId="12" borderId="81" xfId="0" applyFont="1" applyFill="1" applyBorder="1" applyAlignment="1">
      <alignment horizontal="left" vertical="center"/>
    </xf>
    <xf numFmtId="0" fontId="5" fillId="15" borderId="19" xfId="0" applyFont="1" applyFill="1" applyBorder="1" applyAlignment="1">
      <alignment vertical="top" wrapText="1"/>
    </xf>
    <xf numFmtId="0" fontId="11" fillId="14" borderId="94" xfId="0" applyFont="1" applyFill="1" applyBorder="1" applyAlignment="1">
      <alignment horizontal="left" vertical="center"/>
    </xf>
    <xf numFmtId="0" fontId="0" fillId="14" borderId="0" xfId="0" applyFill="1" applyAlignment="1">
      <alignment horizontal="center" vertical="center"/>
    </xf>
    <xf numFmtId="0" fontId="2" fillId="12" borderId="81" xfId="0" applyFont="1" applyFill="1" applyBorder="1" applyAlignment="1">
      <alignment horizontal="center" vertical="center"/>
    </xf>
    <xf numFmtId="0" fontId="2" fillId="8" borderId="52" xfId="0" applyFont="1" applyFill="1" applyBorder="1" applyAlignment="1">
      <alignment horizontal="center" vertical="center"/>
    </xf>
    <xf numFmtId="0" fontId="2" fillId="8" borderId="53" xfId="0" applyFont="1" applyFill="1" applyBorder="1" applyAlignment="1">
      <alignment horizontal="center" vertical="center"/>
    </xf>
    <xf numFmtId="0" fontId="2" fillId="8" borderId="43" xfId="0" applyFont="1" applyFill="1" applyBorder="1" applyAlignment="1">
      <alignment horizontal="left" vertical="center"/>
    </xf>
    <xf numFmtId="0" fontId="2" fillId="8" borderId="12" xfId="0" applyFont="1" applyFill="1" applyBorder="1" applyAlignment="1">
      <alignment horizontal="center" vertical="center"/>
    </xf>
    <xf numFmtId="0" fontId="2" fillId="8" borderId="58" xfId="0" applyFont="1" applyFill="1" applyBorder="1" applyAlignment="1">
      <alignment horizontal="center" vertical="center"/>
    </xf>
    <xf numFmtId="0" fontId="2" fillId="14" borderId="12" xfId="0" applyFont="1" applyFill="1" applyBorder="1" applyAlignment="1">
      <alignment horizontal="center" vertical="center"/>
    </xf>
    <xf numFmtId="0" fontId="11" fillId="14" borderId="12" xfId="0" applyFont="1" applyFill="1" applyBorder="1" applyAlignment="1">
      <alignment horizontal="center" vertical="center"/>
    </xf>
    <xf numFmtId="0" fontId="11" fillId="16" borderId="81" xfId="0" applyFont="1" applyFill="1" applyBorder="1" applyAlignment="1">
      <alignment horizontal="left" vertical="center"/>
    </xf>
    <xf numFmtId="0" fontId="11" fillId="16" borderId="68" xfId="0" applyFont="1" applyFill="1" applyBorder="1" applyAlignment="1">
      <alignment horizontal="left" vertical="center"/>
    </xf>
    <xf numFmtId="0" fontId="2" fillId="8" borderId="106" xfId="0" applyFont="1" applyFill="1" applyBorder="1" applyAlignment="1">
      <alignment horizontal="center" vertical="center"/>
    </xf>
    <xf numFmtId="0" fontId="2" fillId="16" borderId="109" xfId="0" applyFont="1" applyFill="1" applyBorder="1" applyAlignment="1">
      <alignment horizontal="center" vertical="center"/>
    </xf>
    <xf numFmtId="0" fontId="2" fillId="12" borderId="102" xfId="0" applyFont="1" applyFill="1" applyBorder="1" applyAlignment="1">
      <alignment horizontal="center" vertical="center"/>
    </xf>
    <xf numFmtId="0" fontId="4" fillId="10" borderId="48" xfId="0" applyFont="1" applyFill="1" applyBorder="1" applyAlignment="1">
      <alignment horizontal="center"/>
    </xf>
    <xf numFmtId="0" fontId="11" fillId="16" borderId="99" xfId="0" applyFont="1" applyFill="1" applyBorder="1" applyAlignment="1">
      <alignment horizontal="left" vertical="center"/>
    </xf>
    <xf numFmtId="0" fontId="11" fillId="14" borderId="16" xfId="0" applyFont="1" applyFill="1" applyBorder="1" applyAlignment="1">
      <alignment horizontal="left" vertical="center"/>
    </xf>
    <xf numFmtId="0" fontId="9" fillId="12" borderId="0" xfId="0" applyFont="1" applyFill="1" applyAlignment="1">
      <alignment horizontal="center"/>
    </xf>
    <xf numFmtId="0" fontId="14" fillId="14" borderId="7" xfId="0" applyFont="1" applyFill="1" applyBorder="1"/>
    <xf numFmtId="0" fontId="14" fillId="14" borderId="15" xfId="0" applyFont="1" applyFill="1" applyBorder="1" applyAlignment="1">
      <alignment vertical="top"/>
    </xf>
    <xf numFmtId="0" fontId="21" fillId="9" borderId="15" xfId="0" applyFont="1" applyFill="1" applyBorder="1" applyAlignment="1">
      <alignment vertical="top"/>
    </xf>
    <xf numFmtId="0" fontId="14" fillId="9" borderId="15" xfId="0" applyFont="1" applyFill="1" applyBorder="1" applyAlignment="1">
      <alignment vertical="top"/>
    </xf>
    <xf numFmtId="0" fontId="21" fillId="15" borderId="15" xfId="0" applyFont="1" applyFill="1" applyBorder="1" applyAlignment="1">
      <alignment vertical="top"/>
    </xf>
    <xf numFmtId="0" fontId="14" fillId="15" borderId="15" xfId="0" applyFont="1" applyFill="1" applyBorder="1" applyAlignment="1">
      <alignment vertical="top"/>
    </xf>
    <xf numFmtId="0" fontId="14" fillId="15" borderId="15" xfId="2" applyFont="1" applyFill="1" applyBorder="1" applyAlignment="1">
      <alignment vertical="top"/>
    </xf>
    <xf numFmtId="0" fontId="21" fillId="16" borderId="15" xfId="0" applyFont="1" applyFill="1" applyBorder="1" applyAlignment="1">
      <alignment vertical="top"/>
    </xf>
    <xf numFmtId="0" fontId="14" fillId="16" borderId="15" xfId="0" applyFont="1" applyFill="1" applyBorder="1" applyAlignment="1">
      <alignment vertical="top"/>
    </xf>
    <xf numFmtId="0" fontId="21" fillId="14" borderId="15" xfId="0" applyFont="1" applyFill="1" applyBorder="1" applyAlignment="1">
      <alignment vertical="top"/>
    </xf>
    <xf numFmtId="0" fontId="14" fillId="15" borderId="35" xfId="0" applyFont="1" applyFill="1" applyBorder="1" applyAlignment="1">
      <alignment vertical="top"/>
    </xf>
    <xf numFmtId="0" fontId="2" fillId="12" borderId="14" xfId="0" applyFont="1" applyFill="1" applyBorder="1" applyAlignment="1">
      <alignment horizontal="center" vertical="center"/>
    </xf>
    <xf numFmtId="0" fontId="20" fillId="0" borderId="56" xfId="0" applyFont="1" applyBorder="1" applyAlignment="1">
      <alignment horizontal="left" vertical="top"/>
    </xf>
    <xf numFmtId="0" fontId="2" fillId="14" borderId="13" xfId="0" applyFont="1" applyFill="1" applyBorder="1" applyAlignment="1">
      <alignment horizontal="center" vertical="center"/>
    </xf>
    <xf numFmtId="0" fontId="2" fillId="14" borderId="103" xfId="0" applyFont="1" applyFill="1" applyBorder="1" applyAlignment="1">
      <alignment horizontal="center" vertical="center"/>
    </xf>
    <xf numFmtId="0" fontId="2" fillId="14" borderId="96" xfId="0" applyFont="1" applyFill="1" applyBorder="1" applyAlignment="1">
      <alignment horizontal="center" vertical="center"/>
    </xf>
    <xf numFmtId="0" fontId="2" fillId="14" borderId="108" xfId="0" applyFont="1" applyFill="1" applyBorder="1" applyAlignment="1">
      <alignment horizontal="center" vertical="center"/>
    </xf>
    <xf numFmtId="0" fontId="2" fillId="14" borderId="88" xfId="0" applyFont="1" applyFill="1" applyBorder="1" applyAlignment="1">
      <alignment horizontal="center" vertical="center"/>
    </xf>
    <xf numFmtId="0" fontId="2" fillId="14" borderId="102" xfId="0" applyFont="1" applyFill="1" applyBorder="1" applyAlignment="1">
      <alignment horizontal="center" vertical="center"/>
    </xf>
    <xf numFmtId="0" fontId="2" fillId="14" borderId="36" xfId="0" applyFont="1" applyFill="1" applyBorder="1" applyAlignment="1">
      <alignment horizontal="center" vertical="center"/>
    </xf>
    <xf numFmtId="0" fontId="2" fillId="14" borderId="93" xfId="0" applyFont="1" applyFill="1" applyBorder="1" applyAlignment="1">
      <alignment horizontal="center" vertical="center"/>
    </xf>
    <xf numFmtId="0" fontId="2" fillId="14" borderId="63" xfId="0" applyFont="1" applyFill="1" applyBorder="1" applyAlignment="1">
      <alignment horizontal="center" vertical="center"/>
    </xf>
    <xf numFmtId="0" fontId="2" fillId="14" borderId="94" xfId="0" applyFont="1" applyFill="1" applyBorder="1" applyAlignment="1">
      <alignment horizontal="left" vertical="center"/>
    </xf>
    <xf numFmtId="0" fontId="2" fillId="8" borderId="14" xfId="0" applyFont="1" applyFill="1" applyBorder="1" applyAlignment="1">
      <alignment horizontal="center" vertical="center"/>
    </xf>
    <xf numFmtId="0" fontId="11" fillId="14" borderId="47" xfId="0" applyFont="1" applyFill="1" applyBorder="1" applyAlignment="1">
      <alignment horizontal="center" vertical="center"/>
    </xf>
    <xf numFmtId="0" fontId="11" fillId="16" borderId="109" xfId="0" applyFont="1" applyFill="1" applyBorder="1" applyAlignment="1">
      <alignment horizontal="left" vertical="center"/>
    </xf>
    <xf numFmtId="0" fontId="10" fillId="9" borderId="44" xfId="0" applyFont="1" applyFill="1" applyBorder="1" applyAlignment="1">
      <alignment horizontal="center" vertical="center"/>
    </xf>
    <xf numFmtId="0" fontId="2" fillId="12" borderId="88" xfId="0" applyFont="1" applyFill="1" applyBorder="1" applyAlignment="1">
      <alignment horizontal="center" vertical="center"/>
    </xf>
    <xf numFmtId="0" fontId="11" fillId="8" borderId="43" xfId="0" applyFont="1" applyFill="1" applyBorder="1" applyAlignment="1">
      <alignment horizontal="center" vertical="center"/>
    </xf>
    <xf numFmtId="0" fontId="10" fillId="9" borderId="101" xfId="0" applyFont="1" applyFill="1" applyBorder="1" applyAlignment="1">
      <alignment horizontal="center" vertical="center"/>
    </xf>
    <xf numFmtId="0" fontId="2" fillId="13" borderId="13" xfId="0" applyFont="1" applyFill="1" applyBorder="1" applyAlignment="1">
      <alignment horizontal="center" vertical="center"/>
    </xf>
    <xf numFmtId="0" fontId="10" fillId="9" borderId="42" xfId="0" applyFont="1" applyFill="1" applyBorder="1" applyAlignment="1">
      <alignment horizontal="center" vertical="center"/>
    </xf>
    <xf numFmtId="0" fontId="2" fillId="12" borderId="109" xfId="0" applyFont="1" applyFill="1" applyBorder="1" applyAlignment="1">
      <alignment horizontal="left" vertical="center"/>
    </xf>
    <xf numFmtId="0" fontId="2" fillId="8" borderId="81" xfId="0" applyFont="1" applyFill="1" applyBorder="1" applyAlignment="1">
      <alignment horizontal="center" vertical="center"/>
    </xf>
    <xf numFmtId="0" fontId="11" fillId="14" borderId="88" xfId="0" applyFont="1" applyFill="1" applyBorder="1" applyAlignment="1">
      <alignment horizontal="left" vertical="center"/>
    </xf>
    <xf numFmtId="0" fontId="2" fillId="8" borderId="12" xfId="0" applyFont="1" applyFill="1" applyBorder="1" applyAlignment="1">
      <alignment horizontal="left" vertical="center"/>
    </xf>
    <xf numFmtId="0" fontId="11" fillId="8" borderId="65" xfId="0" applyFont="1" applyFill="1" applyBorder="1" applyAlignment="1">
      <alignment horizontal="left" vertical="center"/>
    </xf>
    <xf numFmtId="0" fontId="2" fillId="8" borderId="54" xfId="0" applyFont="1" applyFill="1" applyBorder="1" applyAlignment="1">
      <alignment horizontal="center" vertical="center"/>
    </xf>
    <xf numFmtId="0" fontId="2" fillId="8" borderId="91" xfId="0" applyFont="1" applyFill="1" applyBorder="1" applyAlignment="1">
      <alignment horizontal="left" vertical="center"/>
    </xf>
    <xf numFmtId="0" fontId="2" fillId="8" borderId="73" xfId="0" applyFont="1" applyFill="1" applyBorder="1" applyAlignment="1">
      <alignment horizontal="left" vertical="center"/>
    </xf>
    <xf numFmtId="0" fontId="11" fillId="8" borderId="101" xfId="0" applyFont="1" applyFill="1" applyBorder="1" applyAlignment="1">
      <alignment horizontal="center" vertical="center"/>
    </xf>
    <xf numFmtId="0" fontId="2" fillId="8" borderId="109" xfId="0" applyFont="1" applyFill="1" applyBorder="1" applyAlignment="1">
      <alignment horizontal="left" vertical="center"/>
    </xf>
    <xf numFmtId="0" fontId="11" fillId="8" borderId="42" xfId="0" applyFont="1" applyFill="1" applyBorder="1" applyAlignment="1">
      <alignment horizontal="center" vertical="center"/>
    </xf>
    <xf numFmtId="0" fontId="2" fillId="8" borderId="73" xfId="0" applyFont="1" applyFill="1" applyBorder="1" applyAlignment="1">
      <alignment horizontal="center" vertical="center"/>
    </xf>
    <xf numFmtId="0" fontId="2" fillId="8" borderId="13" xfId="0" applyFont="1" applyFill="1" applyBorder="1" applyAlignment="1">
      <alignment horizontal="left" vertical="center"/>
    </xf>
    <xf numFmtId="0" fontId="19" fillId="12" borderId="45" xfId="0" applyFont="1" applyFill="1" applyBorder="1" applyAlignment="1">
      <alignment horizontal="center" vertical="center"/>
    </xf>
    <xf numFmtId="0" fontId="11" fillId="14" borderId="12" xfId="0" applyFont="1" applyFill="1" applyBorder="1" applyAlignment="1">
      <alignment horizontal="left" vertical="center"/>
    </xf>
    <xf numFmtId="0" fontId="11" fillId="8" borderId="13" xfId="0" applyFont="1" applyFill="1" applyBorder="1" applyAlignment="1">
      <alignment horizontal="left" vertical="center"/>
    </xf>
    <xf numFmtId="0" fontId="20" fillId="14" borderId="18" xfId="0" applyFont="1" applyFill="1" applyBorder="1" applyAlignment="1">
      <alignment horizontal="center" vertical="center"/>
    </xf>
    <xf numFmtId="0" fontId="20" fillId="14" borderId="20" xfId="0" applyFont="1" applyFill="1" applyBorder="1" applyAlignment="1">
      <alignment horizontal="center" vertical="center"/>
    </xf>
    <xf numFmtId="0" fontId="20" fillId="14" borderId="17" xfId="0" applyFont="1" applyFill="1" applyBorder="1" applyAlignment="1">
      <alignment horizontal="center" vertical="center"/>
    </xf>
    <xf numFmtId="0" fontId="20" fillId="14" borderId="47" xfId="0" applyFont="1" applyFill="1" applyBorder="1" applyAlignment="1">
      <alignment horizontal="center" vertical="center"/>
    </xf>
    <xf numFmtId="0" fontId="2" fillId="8" borderId="84" xfId="0" applyFont="1" applyFill="1" applyBorder="1" applyAlignment="1">
      <alignment horizontal="left" vertical="center"/>
    </xf>
    <xf numFmtId="0" fontId="11" fillId="14" borderId="13" xfId="0" applyFont="1" applyFill="1" applyBorder="1" applyAlignment="1">
      <alignment horizontal="left" vertical="center"/>
    </xf>
    <xf numFmtId="0" fontId="2" fillId="8" borderId="68" xfId="0" applyFont="1" applyFill="1" applyBorder="1" applyAlignment="1">
      <alignment horizontal="center" vertical="center"/>
    </xf>
    <xf numFmtId="0" fontId="11" fillId="15" borderId="37" xfId="0" applyFont="1" applyFill="1" applyBorder="1" applyAlignment="1">
      <alignment horizontal="center" vertical="center"/>
    </xf>
    <xf numFmtId="0" fontId="2" fillId="8" borderId="16" xfId="0" applyFont="1" applyFill="1" applyBorder="1" applyAlignment="1">
      <alignment horizontal="left" vertical="center"/>
    </xf>
    <xf numFmtId="0" fontId="2" fillId="16" borderId="105" xfId="0" applyFont="1" applyFill="1" applyBorder="1" applyAlignment="1">
      <alignment horizontal="center" vertical="center"/>
    </xf>
    <xf numFmtId="0" fontId="11" fillId="14" borderId="96" xfId="0" applyFont="1" applyFill="1" applyBorder="1" applyAlignment="1">
      <alignment horizontal="center" vertical="center"/>
    </xf>
    <xf numFmtId="0" fontId="11" fillId="14" borderId="96" xfId="0" applyFont="1" applyFill="1" applyBorder="1" applyAlignment="1">
      <alignment horizontal="left" vertical="center"/>
    </xf>
    <xf numFmtId="0" fontId="2" fillId="15" borderId="68" xfId="0" applyFont="1" applyFill="1" applyBorder="1" applyAlignment="1">
      <alignment horizontal="center" vertical="center"/>
    </xf>
    <xf numFmtId="0" fontId="2" fillId="16" borderId="68" xfId="0" applyFont="1" applyFill="1" applyBorder="1" applyAlignment="1">
      <alignment horizontal="center" vertical="center"/>
    </xf>
    <xf numFmtId="0" fontId="2" fillId="8" borderId="96" xfId="0" applyFont="1" applyFill="1" applyBorder="1" applyAlignment="1">
      <alignment horizontal="center" vertical="center"/>
    </xf>
    <xf numFmtId="0" fontId="2" fillId="8" borderId="91" xfId="0" applyFont="1" applyFill="1" applyBorder="1" applyAlignment="1">
      <alignment horizontal="center" vertical="center"/>
    </xf>
    <xf numFmtId="0" fontId="2" fillId="8" borderId="97" xfId="0" applyFont="1" applyFill="1" applyBorder="1" applyAlignment="1">
      <alignment horizontal="center" vertical="center"/>
    </xf>
    <xf numFmtId="0" fontId="11" fillId="8" borderId="12" xfId="0" applyFont="1" applyFill="1" applyBorder="1" applyAlignment="1">
      <alignment horizontal="left" vertical="center"/>
    </xf>
    <xf numFmtId="0" fontId="2" fillId="15" borderId="91" xfId="0" applyFont="1" applyFill="1" applyBorder="1" applyAlignment="1">
      <alignment horizontal="center" vertical="center"/>
    </xf>
    <xf numFmtId="0" fontId="11" fillId="15" borderId="68" xfId="0" applyFont="1" applyFill="1" applyBorder="1" applyAlignment="1">
      <alignment horizontal="center" vertical="center"/>
    </xf>
    <xf numFmtId="0" fontId="2" fillId="11" borderId="68" xfId="0" applyFont="1" applyFill="1" applyBorder="1" applyAlignment="1">
      <alignment horizontal="left" vertical="center"/>
    </xf>
    <xf numFmtId="0" fontId="2" fillId="8" borderId="94" xfId="0" applyFont="1" applyFill="1" applyBorder="1" applyAlignment="1">
      <alignment horizontal="center" vertical="center"/>
    </xf>
    <xf numFmtId="0" fontId="2" fillId="8" borderId="53" xfId="0" applyFont="1" applyFill="1" applyBorder="1" applyAlignment="1">
      <alignment horizontal="left" vertical="center"/>
    </xf>
    <xf numFmtId="0" fontId="2" fillId="9" borderId="110" xfId="0" applyFont="1" applyFill="1" applyBorder="1" applyAlignment="1">
      <alignment horizontal="center" vertical="center"/>
    </xf>
    <xf numFmtId="0" fontId="2" fillId="15" borderId="109" xfId="0" applyFont="1" applyFill="1" applyBorder="1" applyAlignment="1">
      <alignment horizontal="left" vertical="center"/>
    </xf>
    <xf numFmtId="0" fontId="2" fillId="14" borderId="94" xfId="0" applyFont="1" applyFill="1" applyBorder="1" applyAlignment="1">
      <alignment horizontal="center" vertical="center"/>
    </xf>
    <xf numFmtId="0" fontId="2" fillId="8" borderId="14" xfId="0" applyFont="1" applyFill="1" applyBorder="1" applyAlignment="1">
      <alignment horizontal="left" vertical="center"/>
    </xf>
    <xf numFmtId="0" fontId="2" fillId="16" borderId="84" xfId="0" applyFont="1" applyFill="1" applyBorder="1" applyAlignment="1">
      <alignment horizontal="left" vertical="center"/>
    </xf>
    <xf numFmtId="0" fontId="2" fillId="14" borderId="111" xfId="0" applyFont="1" applyFill="1" applyBorder="1" applyAlignment="1">
      <alignment horizontal="center" vertical="center"/>
    </xf>
    <xf numFmtId="0" fontId="2" fillId="8" borderId="55" xfId="0" applyFont="1" applyFill="1" applyBorder="1" applyAlignment="1">
      <alignment horizontal="center" vertical="center"/>
    </xf>
    <xf numFmtId="0" fontId="2" fillId="8" borderId="109" xfId="0" applyFont="1" applyFill="1" applyBorder="1" applyAlignment="1">
      <alignment horizontal="center" vertical="center"/>
    </xf>
    <xf numFmtId="0" fontId="11" fillId="8" borderId="88" xfId="0" applyFont="1" applyFill="1" applyBorder="1" applyAlignment="1">
      <alignment horizontal="left" vertical="center"/>
    </xf>
    <xf numFmtId="0" fontId="2" fillId="8" borderId="88" xfId="0" applyFont="1" applyFill="1" applyBorder="1" applyAlignment="1">
      <alignment horizontal="center" vertical="center"/>
    </xf>
    <xf numFmtId="0" fontId="2" fillId="14" borderId="117" xfId="0" applyFont="1" applyFill="1" applyBorder="1" applyAlignment="1">
      <alignment horizontal="center" vertical="center"/>
    </xf>
    <xf numFmtId="0" fontId="2" fillId="11" borderId="43" xfId="0" applyFont="1" applyFill="1" applyBorder="1" applyAlignment="1">
      <alignment horizontal="center" vertical="center"/>
    </xf>
    <xf numFmtId="0" fontId="2" fillId="16" borderId="68" xfId="0" applyFont="1" applyFill="1" applyBorder="1" applyAlignment="1">
      <alignment horizontal="left" vertical="center"/>
    </xf>
    <xf numFmtId="0" fontId="11" fillId="14" borderId="108" xfId="0" applyFont="1" applyFill="1" applyBorder="1" applyAlignment="1">
      <alignment horizontal="left" vertical="center"/>
    </xf>
    <xf numFmtId="0" fontId="11" fillId="14" borderId="63" xfId="0" applyFont="1" applyFill="1" applyBorder="1" applyAlignment="1">
      <alignment horizontal="center" vertical="center"/>
    </xf>
    <xf numFmtId="0" fontId="11" fillId="8" borderId="108" xfId="0" applyFont="1" applyFill="1" applyBorder="1" applyAlignment="1">
      <alignment horizontal="left" vertical="center"/>
    </xf>
    <xf numFmtId="0" fontId="2" fillId="8" borderId="108" xfId="0" applyFont="1" applyFill="1" applyBorder="1" applyAlignment="1">
      <alignment horizontal="center" vertical="center"/>
    </xf>
    <xf numFmtId="0" fontId="2" fillId="13" borderId="13" xfId="0" applyFont="1" applyFill="1" applyBorder="1" applyAlignment="1">
      <alignment horizontal="left" vertical="center"/>
    </xf>
    <xf numFmtId="0" fontId="2" fillId="8" borderId="94" xfId="0" applyFont="1" applyFill="1" applyBorder="1" applyAlignment="1">
      <alignment horizontal="left" vertical="center"/>
    </xf>
    <xf numFmtId="0" fontId="2" fillId="12" borderId="93" xfId="0" applyFont="1" applyFill="1" applyBorder="1" applyAlignment="1">
      <alignment horizontal="center" vertical="center"/>
    </xf>
    <xf numFmtId="0" fontId="11" fillId="16" borderId="68" xfId="0" applyFont="1" applyFill="1" applyBorder="1" applyAlignment="1">
      <alignment horizontal="center" vertical="center"/>
    </xf>
    <xf numFmtId="0" fontId="2" fillId="16" borderId="81" xfId="0" applyFont="1" applyFill="1" applyBorder="1" applyAlignment="1">
      <alignment horizontal="left" vertical="center"/>
    </xf>
    <xf numFmtId="0" fontId="20" fillId="14" borderId="103" xfId="0" applyFont="1" applyFill="1" applyBorder="1" applyAlignment="1">
      <alignment horizontal="center" vertical="center"/>
    </xf>
    <xf numFmtId="0" fontId="2" fillId="14" borderId="12" xfId="0" applyFont="1" applyFill="1" applyBorder="1" applyAlignment="1">
      <alignment horizontal="left" vertical="center"/>
    </xf>
    <xf numFmtId="0" fontId="2" fillId="15" borderId="99" xfId="0" applyFont="1" applyFill="1" applyBorder="1" applyAlignment="1">
      <alignment horizontal="left" vertical="center"/>
    </xf>
    <xf numFmtId="0" fontId="11" fillId="9" borderId="97" xfId="0" applyFont="1" applyFill="1" applyBorder="1" applyAlignment="1">
      <alignment horizontal="center" vertical="center"/>
    </xf>
    <xf numFmtId="0" fontId="2" fillId="8" borderId="111" xfId="0" applyFont="1" applyFill="1" applyBorder="1" applyAlignment="1">
      <alignment horizontal="left" vertical="center"/>
    </xf>
    <xf numFmtId="0" fontId="2" fillId="16" borderId="57" xfId="0" applyFont="1" applyFill="1" applyBorder="1" applyAlignment="1">
      <alignment horizontal="center" vertical="center"/>
    </xf>
    <xf numFmtId="0" fontId="2" fillId="16" borderId="73" xfId="0" applyFont="1" applyFill="1" applyBorder="1" applyAlignment="1">
      <alignment horizontal="center" vertical="center"/>
    </xf>
    <xf numFmtId="0" fontId="2" fillId="16" borderId="75" xfId="0" applyFont="1" applyFill="1" applyBorder="1" applyAlignment="1">
      <alignment horizontal="center" vertical="center"/>
    </xf>
    <xf numFmtId="0" fontId="2" fillId="16" borderId="84" xfId="0" applyFont="1" applyFill="1" applyBorder="1" applyAlignment="1">
      <alignment horizontal="center" vertical="center"/>
    </xf>
    <xf numFmtId="0" fontId="2" fillId="16" borderId="73" xfId="0" applyFont="1" applyFill="1" applyBorder="1" applyAlignment="1">
      <alignment horizontal="left" vertical="center"/>
    </xf>
    <xf numFmtId="0" fontId="2" fillId="16" borderId="57" xfId="0" applyFont="1" applyFill="1" applyBorder="1" applyAlignment="1">
      <alignment horizontal="left" vertical="center"/>
    </xf>
    <xf numFmtId="0" fontId="2" fillId="16" borderId="10" xfId="0" applyFont="1" applyFill="1" applyBorder="1" applyAlignment="1">
      <alignment horizontal="center" vertical="center"/>
    </xf>
    <xf numFmtId="0" fontId="2" fillId="12" borderId="13" xfId="0" applyFont="1" applyFill="1" applyBorder="1" applyAlignment="1">
      <alignment horizontal="left" vertical="center"/>
    </xf>
    <xf numFmtId="0" fontId="11" fillId="16" borderId="40" xfId="0" applyFont="1" applyFill="1" applyBorder="1" applyAlignment="1">
      <alignment horizontal="center" vertical="center"/>
    </xf>
    <xf numFmtId="0" fontId="11" fillId="15" borderId="91" xfId="0" applyFont="1" applyFill="1" applyBorder="1" applyAlignment="1">
      <alignment horizontal="left" vertical="center"/>
    </xf>
    <xf numFmtId="0" fontId="22" fillId="14" borderId="103" xfId="0" applyFont="1" applyFill="1" applyBorder="1" applyAlignment="1">
      <alignment horizontal="right" vertical="center"/>
    </xf>
    <xf numFmtId="0" fontId="5" fillId="14" borderId="17" xfId="0" applyFont="1" applyFill="1" applyBorder="1" applyAlignment="1">
      <alignment horizontal="center" vertical="center"/>
    </xf>
    <xf numFmtId="0" fontId="10" fillId="12" borderId="97" xfId="0" applyFont="1" applyFill="1" applyBorder="1" applyAlignment="1">
      <alignment horizontal="center" vertical="center"/>
    </xf>
    <xf numFmtId="0" fontId="5" fillId="12" borderId="17" xfId="0" applyFont="1" applyFill="1" applyBorder="1" applyAlignment="1">
      <alignment horizontal="center" vertical="center"/>
    </xf>
    <xf numFmtId="0" fontId="11" fillId="15" borderId="109" xfId="0" applyFont="1" applyFill="1" applyBorder="1" applyAlignment="1">
      <alignment horizontal="left" vertical="center"/>
    </xf>
    <xf numFmtId="0" fontId="11" fillId="14" borderId="122" xfId="0" applyFont="1" applyFill="1" applyBorder="1" applyAlignment="1">
      <alignment horizontal="left" vertical="center"/>
    </xf>
    <xf numFmtId="0" fontId="2" fillId="8" borderId="108" xfId="0" applyFont="1" applyFill="1" applyBorder="1" applyAlignment="1">
      <alignment horizontal="left" vertical="center"/>
    </xf>
    <xf numFmtId="0" fontId="2" fillId="8" borderId="110" xfId="0" applyFont="1" applyFill="1" applyBorder="1" applyAlignment="1">
      <alignment horizontal="center" vertical="center"/>
    </xf>
    <xf numFmtId="0" fontId="17" fillId="14" borderId="103" xfId="0" applyFont="1" applyFill="1" applyBorder="1" applyAlignment="1">
      <alignment horizontal="center" vertical="center"/>
    </xf>
    <xf numFmtId="0" fontId="22" fillId="14" borderId="103" xfId="0" applyFont="1" applyFill="1" applyBorder="1" applyAlignment="1">
      <alignment horizontal="center" vertical="center"/>
    </xf>
    <xf numFmtId="0" fontId="11" fillId="14" borderId="93" xfId="0" applyFont="1" applyFill="1" applyBorder="1" applyAlignment="1">
      <alignment horizontal="center" vertical="center"/>
    </xf>
    <xf numFmtId="0" fontId="11" fillId="8" borderId="94" xfId="0" applyFont="1" applyFill="1" applyBorder="1" applyAlignment="1">
      <alignment horizontal="left" vertical="center"/>
    </xf>
    <xf numFmtId="0" fontId="2" fillId="12" borderId="63" xfId="0" applyFont="1" applyFill="1" applyBorder="1" applyAlignment="1">
      <alignment horizontal="center" vertical="center"/>
    </xf>
    <xf numFmtId="0" fontId="2" fillId="16" borderId="109" xfId="0" applyFont="1" applyFill="1" applyBorder="1" applyAlignment="1">
      <alignment horizontal="left" vertical="center"/>
    </xf>
    <xf numFmtId="0" fontId="2" fillId="13" borderId="12" xfId="0" applyFont="1" applyFill="1" applyBorder="1" applyAlignment="1">
      <alignment horizontal="left" vertical="center"/>
    </xf>
    <xf numFmtId="0" fontId="2" fillId="13" borderId="94" xfId="0" applyFont="1" applyFill="1" applyBorder="1" applyAlignment="1">
      <alignment horizontal="left" vertical="center"/>
    </xf>
    <xf numFmtId="0" fontId="11" fillId="16" borderId="73" xfId="0" applyFont="1" applyFill="1" applyBorder="1" applyAlignment="1">
      <alignment horizontal="center" vertical="center"/>
    </xf>
    <xf numFmtId="0" fontId="5" fillId="3" borderId="25" xfId="0" applyFont="1" applyFill="1" applyBorder="1" applyAlignment="1">
      <alignment horizontal="center" vertical="center"/>
    </xf>
    <xf numFmtId="0" fontId="11" fillId="16" borderId="75" xfId="0" applyFont="1" applyFill="1" applyBorder="1" applyAlignment="1">
      <alignment horizontal="center" vertical="center"/>
    </xf>
    <xf numFmtId="0" fontId="11" fillId="16" borderId="73" xfId="0" applyFont="1" applyFill="1" applyBorder="1" applyAlignment="1">
      <alignment horizontal="left" vertical="center"/>
    </xf>
    <xf numFmtId="0" fontId="4" fillId="9" borderId="24" xfId="0" applyFont="1" applyFill="1" applyBorder="1" applyAlignment="1">
      <alignment horizontal="left"/>
    </xf>
    <xf numFmtId="0" fontId="2" fillId="16" borderId="75" xfId="0" applyFont="1" applyFill="1" applyBorder="1" applyAlignment="1">
      <alignment horizontal="left" vertical="center"/>
    </xf>
    <xf numFmtId="0" fontId="4" fillId="10" borderId="9" xfId="0" applyFont="1" applyFill="1" applyBorder="1" applyAlignment="1">
      <alignment horizontal="center"/>
    </xf>
    <xf numFmtId="0" fontId="2" fillId="8" borderId="57" xfId="0" applyFont="1" applyFill="1" applyBorder="1" applyAlignment="1">
      <alignment horizontal="left" vertical="center"/>
    </xf>
    <xf numFmtId="0" fontId="2" fillId="8" borderId="105" xfId="0" applyFont="1" applyFill="1" applyBorder="1" applyAlignment="1">
      <alignment horizontal="left" vertical="center"/>
    </xf>
    <xf numFmtId="0" fontId="5" fillId="3" borderId="51" xfId="0" applyFont="1" applyFill="1" applyBorder="1" applyAlignment="1">
      <alignment horizontal="center" vertical="center"/>
    </xf>
    <xf numFmtId="0" fontId="5" fillId="17" borderId="3"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28" xfId="0" applyFont="1" applyFill="1" applyBorder="1" applyAlignment="1">
      <alignment horizontal="center" vertical="center"/>
    </xf>
    <xf numFmtId="0" fontId="5" fillId="3" borderId="35" xfId="0" applyFont="1" applyFill="1" applyBorder="1" applyAlignment="1">
      <alignment horizontal="center" vertical="center"/>
    </xf>
    <xf numFmtId="0" fontId="5" fillId="14" borderId="14" xfId="0" applyFont="1" applyFill="1" applyBorder="1" applyAlignment="1">
      <alignment horizontal="center" vertical="center"/>
    </xf>
    <xf numFmtId="0" fontId="2" fillId="15" borderId="38" xfId="0" applyFont="1" applyFill="1" applyBorder="1" applyAlignment="1">
      <alignment horizontal="left" vertical="center"/>
    </xf>
    <xf numFmtId="0" fontId="5" fillId="3" borderId="123" xfId="0" applyFont="1" applyFill="1" applyBorder="1" applyAlignment="1">
      <alignment horizontal="center" vertical="center"/>
    </xf>
    <xf numFmtId="0" fontId="2" fillId="15" borderId="107" xfId="0" applyFont="1" applyFill="1" applyBorder="1" applyAlignment="1">
      <alignment horizontal="left" vertical="center"/>
    </xf>
    <xf numFmtId="0" fontId="2" fillId="15" borderId="10" xfId="0" applyFont="1" applyFill="1" applyBorder="1" applyAlignment="1">
      <alignment horizontal="left" vertical="center"/>
    </xf>
    <xf numFmtId="0" fontId="2" fillId="14" borderId="96" xfId="0" applyFont="1" applyFill="1" applyBorder="1" applyAlignment="1">
      <alignment horizontal="left" vertical="center"/>
    </xf>
    <xf numFmtId="0" fontId="5" fillId="14" borderId="56" xfId="0" applyFont="1" applyFill="1" applyBorder="1" applyAlignment="1">
      <alignment horizontal="center" vertical="center"/>
    </xf>
    <xf numFmtId="0" fontId="5" fillId="17" borderId="51" xfId="0" applyFont="1" applyFill="1" applyBorder="1" applyAlignment="1">
      <alignment horizontal="center" vertical="center"/>
    </xf>
    <xf numFmtId="0" fontId="11" fillId="14" borderId="94" xfId="0" applyFont="1" applyFill="1" applyBorder="1" applyAlignment="1">
      <alignment horizontal="center" vertical="center"/>
    </xf>
    <xf numFmtId="0" fontId="10" fillId="18" borderId="43" xfId="0" applyFont="1" applyFill="1" applyBorder="1" applyAlignment="1">
      <alignment horizontal="center" vertical="center"/>
    </xf>
    <xf numFmtId="0" fontId="9" fillId="18" borderId="0" xfId="0" applyFont="1" applyFill="1" applyAlignment="1">
      <alignment horizontal="center"/>
    </xf>
    <xf numFmtId="0" fontId="2" fillId="13" borderId="38" xfId="0" applyFont="1" applyFill="1" applyBorder="1" applyAlignment="1">
      <alignment horizontal="center" vertical="center"/>
    </xf>
    <xf numFmtId="0" fontId="16" fillId="13" borderId="45" xfId="0" applyFont="1" applyFill="1" applyBorder="1" applyAlignment="1">
      <alignment horizontal="center" vertical="center"/>
    </xf>
    <xf numFmtId="0" fontId="2" fillId="12" borderId="52" xfId="0" applyFont="1" applyFill="1" applyBorder="1" applyAlignment="1">
      <alignment horizontal="center" vertical="center"/>
    </xf>
    <xf numFmtId="0" fontId="2" fillId="13" borderId="108" xfId="0" applyFont="1" applyFill="1" applyBorder="1" applyAlignment="1">
      <alignment horizontal="left" vertical="center"/>
    </xf>
    <xf numFmtId="0" fontId="2" fillId="13" borderId="88" xfId="0" applyFont="1" applyFill="1" applyBorder="1" applyAlignment="1">
      <alignment horizontal="left" vertical="center"/>
    </xf>
    <xf numFmtId="0" fontId="2" fillId="8" borderId="84" xfId="0" applyFont="1" applyFill="1" applyBorder="1" applyAlignment="1">
      <alignment horizontal="center" vertical="center"/>
    </xf>
    <xf numFmtId="0" fontId="14" fillId="0" borderId="76" xfId="0" applyFont="1" applyBorder="1"/>
    <xf numFmtId="0" fontId="14" fillId="9" borderId="7" xfId="0" applyFont="1" applyFill="1" applyBorder="1"/>
    <xf numFmtId="0" fontId="14" fillId="15" borderId="7" xfId="0" applyFont="1" applyFill="1" applyBorder="1" applyAlignment="1">
      <alignment horizontal="center" vertical="center"/>
    </xf>
    <xf numFmtId="0" fontId="14" fillId="15" borderId="7" xfId="2" applyFont="1" applyFill="1" applyBorder="1"/>
    <xf numFmtId="0" fontId="0" fillId="0" borderId="0" xfId="0" applyAlignment="1">
      <alignment horizontal="center"/>
    </xf>
    <xf numFmtId="0" fontId="2" fillId="16" borderId="105" xfId="0" applyFont="1" applyFill="1" applyBorder="1" applyAlignment="1">
      <alignment horizontal="left" vertical="center"/>
    </xf>
    <xf numFmtId="0" fontId="3" fillId="9" borderId="70" xfId="0" applyFont="1" applyFill="1" applyBorder="1" applyAlignment="1">
      <alignment horizontal="center" vertical="center"/>
    </xf>
    <xf numFmtId="0" fontId="3" fillId="9" borderId="69" xfId="0" applyFont="1" applyFill="1" applyBorder="1" applyAlignment="1">
      <alignment horizontal="center" vertical="center"/>
    </xf>
    <xf numFmtId="0" fontId="5" fillId="2" borderId="30" xfId="0" applyFont="1" applyFill="1" applyBorder="1" applyAlignment="1">
      <alignment horizontal="center" vertical="center" wrapText="1"/>
    </xf>
    <xf numFmtId="0" fontId="14" fillId="14" borderId="0" xfId="0" applyFont="1" applyFill="1"/>
    <xf numFmtId="0" fontId="5" fillId="14" borderId="30" xfId="0" applyFont="1" applyFill="1" applyBorder="1" applyAlignment="1">
      <alignment horizontal="center" vertical="center" wrapText="1"/>
    </xf>
    <xf numFmtId="0" fontId="3" fillId="14" borderId="0" xfId="0" applyFont="1" applyFill="1" applyAlignment="1">
      <alignment horizontal="center" vertical="center"/>
    </xf>
    <xf numFmtId="0" fontId="20" fillId="8" borderId="20" xfId="0" applyFont="1" applyFill="1" applyBorder="1" applyAlignment="1">
      <alignment horizontal="center" vertical="center"/>
    </xf>
    <xf numFmtId="0" fontId="3" fillId="0" borderId="0" xfId="0" applyFont="1" applyAlignment="1">
      <alignment horizontal="left" vertical="center"/>
    </xf>
    <xf numFmtId="0" fontId="14" fillId="0" borderId="0" xfId="0" applyFont="1" applyAlignment="1">
      <alignment horizontal="left" vertical="center"/>
    </xf>
    <xf numFmtId="168" fontId="4" fillId="0" borderId="0" xfId="0" applyNumberFormat="1" applyFont="1"/>
    <xf numFmtId="169" fontId="4" fillId="0" borderId="64" xfId="0" applyNumberFormat="1" applyFont="1" applyBorder="1" applyAlignment="1">
      <alignment horizontal="center"/>
    </xf>
    <xf numFmtId="166" fontId="4" fillId="0" borderId="27" xfId="0" applyNumberFormat="1" applyFont="1" applyBorder="1" applyAlignment="1">
      <alignment horizontal="center"/>
    </xf>
    <xf numFmtId="170" fontId="4" fillId="0" borderId="25" xfId="4" applyNumberFormat="1" applyFont="1" applyBorder="1" applyAlignment="1">
      <alignment horizontal="center"/>
    </xf>
    <xf numFmtId="0" fontId="11" fillId="16" borderId="12" xfId="0" applyFont="1" applyFill="1" applyBorder="1" applyAlignment="1">
      <alignment horizontal="left" vertical="center"/>
    </xf>
    <xf numFmtId="0" fontId="2" fillId="15" borderId="82" xfId="0" applyFont="1" applyFill="1" applyBorder="1" applyAlignment="1">
      <alignment horizontal="center" vertical="center"/>
    </xf>
    <xf numFmtId="0" fontId="3" fillId="9" borderId="85" xfId="0" applyFont="1" applyFill="1" applyBorder="1" applyAlignment="1">
      <alignment horizontal="center" vertical="center"/>
    </xf>
    <xf numFmtId="0" fontId="2" fillId="15" borderId="53" xfId="0" applyFont="1" applyFill="1" applyBorder="1" applyAlignment="1">
      <alignment horizontal="left" vertical="center"/>
    </xf>
    <xf numFmtId="0" fontId="11" fillId="16" borderId="84" xfId="0" applyFont="1" applyFill="1" applyBorder="1" applyAlignment="1">
      <alignment horizontal="left" vertical="center"/>
    </xf>
    <xf numFmtId="0" fontId="15" fillId="15" borderId="65" xfId="0" applyFont="1" applyFill="1" applyBorder="1" applyAlignment="1">
      <alignment horizontal="left"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8" borderId="98" xfId="0" applyFont="1" applyFill="1" applyBorder="1" applyAlignment="1">
      <alignment horizontal="center" vertical="center"/>
    </xf>
    <xf numFmtId="0" fontId="2" fillId="14" borderId="122" xfId="0" applyFont="1" applyFill="1" applyBorder="1" applyAlignment="1">
      <alignment horizontal="center" vertical="center"/>
    </xf>
    <xf numFmtId="0" fontId="2" fillId="8" borderId="93" xfId="0" applyFont="1" applyFill="1" applyBorder="1" applyAlignment="1">
      <alignment horizontal="center" vertical="center"/>
    </xf>
    <xf numFmtId="0" fontId="3" fillId="9" borderId="80" xfId="0" applyFont="1" applyFill="1" applyBorder="1" applyAlignment="1">
      <alignment horizontal="center" vertical="center"/>
    </xf>
    <xf numFmtId="0" fontId="11" fillId="16" borderId="84" xfId="0" applyFont="1" applyFill="1" applyBorder="1" applyAlignment="1">
      <alignment horizontal="center" vertical="center"/>
    </xf>
    <xf numFmtId="0" fontId="2" fillId="16" borderId="13" xfId="0" applyFont="1" applyFill="1" applyBorder="1" applyAlignment="1">
      <alignment horizontal="center" vertical="center"/>
    </xf>
    <xf numFmtId="0" fontId="11" fillId="16" borderId="13" xfId="0" applyFont="1" applyFill="1" applyBorder="1" applyAlignment="1">
      <alignment horizontal="left" vertical="center"/>
    </xf>
    <xf numFmtId="0" fontId="2" fillId="8" borderId="57" xfId="0" applyFont="1" applyFill="1" applyBorder="1" applyAlignment="1">
      <alignment horizontal="center" vertical="center"/>
    </xf>
    <xf numFmtId="0" fontId="15" fillId="14" borderId="108" xfId="0" applyFont="1" applyFill="1" applyBorder="1" applyAlignment="1">
      <alignment horizontal="left" vertical="center"/>
    </xf>
    <xf numFmtId="0" fontId="2" fillId="15" borderId="59" xfId="0" applyFont="1" applyFill="1" applyBorder="1" applyAlignment="1">
      <alignment horizontal="center" vertical="center"/>
    </xf>
    <xf numFmtId="0" fontId="5" fillId="15" borderId="5" xfId="0" applyFont="1" applyFill="1" applyBorder="1"/>
    <xf numFmtId="9" fontId="23" fillId="0" borderId="18" xfId="0" applyNumberFormat="1" applyFont="1" applyBorder="1" applyAlignment="1">
      <alignment horizontal="center" vertical="center"/>
    </xf>
    <xf numFmtId="0" fontId="2" fillId="16" borderId="23" xfId="0" applyFont="1" applyFill="1" applyBorder="1" applyAlignment="1">
      <alignment horizontal="center" vertical="center"/>
    </xf>
    <xf numFmtId="9" fontId="23" fillId="0" borderId="36" xfId="0" applyNumberFormat="1" applyFont="1" applyBorder="1" applyAlignment="1">
      <alignment horizontal="center" vertical="center"/>
    </xf>
    <xf numFmtId="0" fontId="11" fillId="16" borderId="13" xfId="0" applyFont="1" applyFill="1" applyBorder="1" applyAlignment="1">
      <alignment horizontal="center" vertical="center"/>
    </xf>
    <xf numFmtId="0" fontId="11" fillId="16" borderId="91" xfId="0" applyFont="1" applyFill="1" applyBorder="1" applyAlignment="1">
      <alignment horizontal="left" vertical="center"/>
    </xf>
    <xf numFmtId="0" fontId="2" fillId="8" borderId="105" xfId="0" applyFont="1" applyFill="1" applyBorder="1" applyAlignment="1">
      <alignment horizontal="center" vertical="center"/>
    </xf>
    <xf numFmtId="0" fontId="2" fillId="14" borderId="37" xfId="0" applyFont="1" applyFill="1" applyBorder="1" applyAlignment="1">
      <alignment horizontal="center" vertical="center"/>
    </xf>
    <xf numFmtId="0" fontId="2" fillId="16" borderId="6" xfId="0" applyFont="1" applyFill="1" applyBorder="1" applyAlignment="1">
      <alignment horizontal="center" vertical="center"/>
    </xf>
    <xf numFmtId="0" fontId="2" fillId="9" borderId="101" xfId="0" applyFont="1" applyFill="1" applyBorder="1" applyAlignment="1">
      <alignment horizontal="left" vertical="center"/>
    </xf>
    <xf numFmtId="0" fontId="5" fillId="17" borderId="30" xfId="0" applyFont="1" applyFill="1" applyBorder="1" applyAlignment="1">
      <alignment horizontal="center" vertical="center"/>
    </xf>
    <xf numFmtId="0" fontId="2" fillId="8" borderId="44" xfId="0" applyFont="1" applyFill="1" applyBorder="1" applyAlignment="1">
      <alignment horizontal="left" vertical="center"/>
    </xf>
    <xf numFmtId="0" fontId="2" fillId="12" borderId="12" xfId="0" applyFont="1" applyFill="1" applyBorder="1" applyAlignment="1">
      <alignment horizontal="center" vertical="center"/>
    </xf>
    <xf numFmtId="0" fontId="2" fillId="12" borderId="108" xfId="0" applyFont="1" applyFill="1" applyBorder="1" applyAlignment="1">
      <alignment horizontal="center" vertical="center"/>
    </xf>
    <xf numFmtId="9" fontId="23" fillId="0" borderId="103" xfId="0" applyNumberFormat="1" applyFont="1" applyBorder="1" applyAlignment="1">
      <alignment horizontal="center" vertical="center"/>
    </xf>
    <xf numFmtId="0" fontId="11" fillId="15" borderId="58" xfId="0" applyFont="1" applyFill="1" applyBorder="1" applyAlignment="1">
      <alignment horizontal="center" vertical="center"/>
    </xf>
    <xf numFmtId="0" fontId="4" fillId="15" borderId="2" xfId="0" applyFont="1" applyFill="1" applyBorder="1" applyAlignment="1">
      <alignment horizontal="center"/>
    </xf>
    <xf numFmtId="0" fontId="5" fillId="3" borderId="125" xfId="0" applyFont="1" applyFill="1" applyBorder="1" applyAlignment="1">
      <alignment horizontal="center" vertical="center"/>
    </xf>
    <xf numFmtId="0" fontId="2" fillId="15" borderId="19" xfId="0" applyFont="1" applyFill="1" applyBorder="1" applyAlignment="1">
      <alignment horizontal="left" vertical="center"/>
    </xf>
    <xf numFmtId="0" fontId="4" fillId="15" borderId="24" xfId="0" applyFont="1" applyFill="1" applyBorder="1" applyAlignment="1">
      <alignment horizontal="center"/>
    </xf>
    <xf numFmtId="0" fontId="4" fillId="16" borderId="15" xfId="0" applyFont="1" applyFill="1" applyBorder="1" applyAlignment="1">
      <alignment horizontal="center" vertical="center"/>
    </xf>
    <xf numFmtId="0" fontId="4" fillId="16" borderId="35" xfId="0" applyFont="1" applyFill="1" applyBorder="1" applyAlignment="1">
      <alignment horizontal="center" vertical="center"/>
    </xf>
    <xf numFmtId="10" fontId="4" fillId="0" borderId="0" xfId="0" applyNumberFormat="1" applyFont="1" applyAlignment="1">
      <alignment horizontal="center"/>
    </xf>
    <xf numFmtId="10" fontId="9" fillId="0" borderId="0" xfId="0" applyNumberFormat="1" applyFont="1" applyAlignment="1">
      <alignment horizontal="center"/>
    </xf>
    <xf numFmtId="10" fontId="3" fillId="2" borderId="26" xfId="0" applyNumberFormat="1" applyFont="1" applyFill="1" applyBorder="1" applyAlignment="1">
      <alignment horizontal="center" vertical="center" wrapText="1"/>
    </xf>
    <xf numFmtId="10" fontId="3" fillId="0" borderId="0" xfId="0" applyNumberFormat="1" applyFont="1"/>
    <xf numFmtId="10" fontId="0" fillId="0" borderId="0" xfId="0" applyNumberFormat="1" applyAlignment="1">
      <alignment horizontal="center" vertical="center"/>
    </xf>
    <xf numFmtId="10" fontId="4" fillId="14" borderId="0" xfId="0" applyNumberFormat="1" applyFont="1" applyFill="1" applyAlignment="1">
      <alignment horizontal="center"/>
    </xf>
    <xf numFmtId="10" fontId="0" fillId="0" borderId="0" xfId="0" applyNumberFormat="1" applyAlignment="1">
      <alignment horizontal="center"/>
    </xf>
    <xf numFmtId="10" fontId="3" fillId="0" borderId="0" xfId="0" applyNumberFormat="1" applyFont="1" applyAlignment="1">
      <alignment horizontal="center" vertical="center"/>
    </xf>
    <xf numFmtId="0" fontId="2" fillId="12" borderId="111" xfId="0" applyFont="1" applyFill="1" applyBorder="1" applyAlignment="1">
      <alignment horizontal="left" vertical="center"/>
    </xf>
    <xf numFmtId="0" fontId="2" fillId="12" borderId="53" xfId="0" applyFont="1" applyFill="1" applyBorder="1" applyAlignment="1">
      <alignment horizontal="center" vertical="center"/>
    </xf>
    <xf numFmtId="0" fontId="2" fillId="8" borderId="46" xfId="0" applyFont="1" applyFill="1" applyBorder="1" applyAlignment="1">
      <alignment horizontal="left" vertical="center"/>
    </xf>
    <xf numFmtId="9" fontId="3" fillId="9" borderId="15" xfId="0" applyNumberFormat="1" applyFont="1" applyFill="1" applyBorder="1" applyAlignment="1">
      <alignment horizontal="center" vertical="center"/>
    </xf>
    <xf numFmtId="9" fontId="2" fillId="8" borderId="99" xfId="0" applyNumberFormat="1" applyFont="1" applyFill="1" applyBorder="1" applyAlignment="1">
      <alignment horizontal="left" vertical="center"/>
    </xf>
    <xf numFmtId="9" fontId="3" fillId="9" borderId="78" xfId="0" applyNumberFormat="1" applyFont="1" applyFill="1" applyBorder="1" applyAlignment="1">
      <alignment horizontal="center" vertical="center"/>
    </xf>
    <xf numFmtId="9" fontId="4" fillId="15" borderId="24" xfId="0" applyNumberFormat="1" applyFont="1" applyFill="1" applyBorder="1" applyAlignment="1">
      <alignment horizontal="center"/>
    </xf>
    <xf numFmtId="9" fontId="3" fillId="0" borderId="0" xfId="0" applyNumberFormat="1" applyFont="1"/>
    <xf numFmtId="9" fontId="3" fillId="9" borderId="0" xfId="0" applyNumberFormat="1" applyFont="1" applyFill="1" applyAlignment="1">
      <alignment horizontal="center" vertical="center"/>
    </xf>
    <xf numFmtId="9" fontId="4" fillId="15" borderId="2" xfId="0" applyNumberFormat="1" applyFont="1" applyFill="1" applyBorder="1" applyAlignment="1">
      <alignment horizontal="center"/>
    </xf>
    <xf numFmtId="9" fontId="2" fillId="8" borderId="99" xfId="0" applyNumberFormat="1" applyFont="1" applyFill="1" applyBorder="1" applyAlignment="1">
      <alignment horizontal="center" vertical="center"/>
    </xf>
    <xf numFmtId="0" fontId="11" fillId="8" borderId="45" xfId="0" applyFont="1" applyFill="1" applyBorder="1" applyAlignment="1">
      <alignment horizontal="left" vertical="center"/>
    </xf>
    <xf numFmtId="0" fontId="4" fillId="16" borderId="67" xfId="0" applyFont="1" applyFill="1" applyBorder="1" applyAlignment="1">
      <alignment horizontal="center" vertical="center"/>
    </xf>
    <xf numFmtId="0" fontId="10" fillId="12" borderId="46" xfId="0" applyFont="1" applyFill="1" applyBorder="1" applyAlignment="1">
      <alignment horizontal="center" vertical="center"/>
    </xf>
    <xf numFmtId="9" fontId="23" fillId="15" borderId="100" xfId="0" applyNumberFormat="1" applyFont="1" applyFill="1" applyBorder="1" applyAlignment="1">
      <alignment horizontal="center" vertical="center"/>
    </xf>
    <xf numFmtId="0" fontId="2" fillId="15" borderId="52" xfId="0" applyFont="1" applyFill="1" applyBorder="1" applyAlignment="1">
      <alignment horizontal="left" vertical="center"/>
    </xf>
    <xf numFmtId="0" fontId="2" fillId="8" borderId="10" xfId="0" applyFont="1" applyFill="1" applyBorder="1" applyAlignment="1">
      <alignment horizontal="left" vertical="center"/>
    </xf>
    <xf numFmtId="0" fontId="2" fillId="16" borderId="87" xfId="0" applyFont="1" applyFill="1" applyBorder="1" applyAlignment="1">
      <alignment horizontal="left" vertical="center"/>
    </xf>
    <xf numFmtId="0" fontId="5" fillId="14" borderId="102" xfId="0" applyFont="1" applyFill="1" applyBorder="1" applyAlignment="1">
      <alignment horizontal="center" vertical="center"/>
    </xf>
    <xf numFmtId="0" fontId="2" fillId="15" borderId="124" xfId="0" applyFont="1" applyFill="1" applyBorder="1" applyAlignment="1">
      <alignment horizontal="center" vertical="center"/>
    </xf>
    <xf numFmtId="0" fontId="11" fillId="15" borderId="53" xfId="0" applyFont="1" applyFill="1" applyBorder="1" applyAlignment="1">
      <alignment horizontal="center" vertical="center"/>
    </xf>
    <xf numFmtId="0" fontId="22" fillId="14" borderId="103" xfId="0" applyFont="1" applyFill="1" applyBorder="1" applyAlignment="1">
      <alignment horizontal="left" vertical="center"/>
    </xf>
    <xf numFmtId="0" fontId="2" fillId="12" borderId="109" xfId="0" applyFont="1" applyFill="1" applyBorder="1" applyAlignment="1">
      <alignment horizontal="center" vertical="center"/>
    </xf>
    <xf numFmtId="0" fontId="2" fillId="13" borderId="41" xfId="0" applyFont="1" applyFill="1" applyBorder="1" applyAlignment="1">
      <alignment horizontal="center" vertical="center"/>
    </xf>
    <xf numFmtId="0" fontId="4" fillId="16" borderId="87" xfId="0" applyFont="1" applyFill="1" applyBorder="1" applyAlignment="1">
      <alignment horizontal="center" vertical="center"/>
    </xf>
    <xf numFmtId="0" fontId="11" fillId="16" borderId="87" xfId="0" applyFont="1" applyFill="1" applyBorder="1" applyAlignment="1">
      <alignment horizontal="left" vertical="center"/>
    </xf>
    <xf numFmtId="0" fontId="2" fillId="8" borderId="122" xfId="0" applyFont="1" applyFill="1" applyBorder="1" applyAlignment="1">
      <alignment horizontal="left" vertical="center"/>
    </xf>
    <xf numFmtId="0" fontId="2" fillId="16" borderId="12" xfId="0" applyFont="1" applyFill="1" applyBorder="1" applyAlignment="1">
      <alignment horizontal="left" vertical="center"/>
    </xf>
    <xf numFmtId="0" fontId="4" fillId="9" borderId="127" xfId="0" applyFont="1" applyFill="1" applyBorder="1" applyAlignment="1">
      <alignment horizontal="center"/>
    </xf>
    <xf numFmtId="0" fontId="16" fillId="15" borderId="19" xfId="0" applyFont="1" applyFill="1" applyBorder="1" applyAlignment="1">
      <alignment horizontal="center"/>
    </xf>
    <xf numFmtId="0" fontId="16" fillId="16" borderId="19" xfId="0" applyFont="1" applyFill="1" applyBorder="1" applyAlignment="1">
      <alignment horizontal="center"/>
    </xf>
    <xf numFmtId="0" fontId="16" fillId="14" borderId="62" xfId="0" applyFont="1" applyFill="1" applyBorder="1" applyAlignment="1">
      <alignment horizontal="left"/>
    </xf>
    <xf numFmtId="0" fontId="16" fillId="15" borderId="62" xfId="0" applyFont="1" applyFill="1" applyBorder="1" applyAlignment="1">
      <alignment horizontal="center"/>
    </xf>
    <xf numFmtId="0" fontId="2" fillId="14" borderId="38" xfId="0" applyFont="1" applyFill="1" applyBorder="1" applyAlignment="1">
      <alignment horizontal="center" vertical="center"/>
    </xf>
    <xf numFmtId="0" fontId="2" fillId="14" borderId="10" xfId="0" applyFont="1" applyFill="1" applyBorder="1" applyAlignment="1">
      <alignment horizontal="center" vertical="center"/>
    </xf>
    <xf numFmtId="0" fontId="4" fillId="9" borderId="48" xfId="0" applyFont="1" applyFill="1" applyBorder="1" applyAlignment="1">
      <alignment horizontal="center"/>
    </xf>
    <xf numFmtId="0" fontId="16" fillId="15" borderId="32" xfId="0" applyFont="1" applyFill="1" applyBorder="1" applyAlignment="1">
      <alignment horizontal="center"/>
    </xf>
    <xf numFmtId="0" fontId="2" fillId="14" borderId="65" xfId="0" applyFont="1" applyFill="1" applyBorder="1" applyAlignment="1">
      <alignment horizontal="center" vertical="center"/>
    </xf>
    <xf numFmtId="0" fontId="18" fillId="0" borderId="62" xfId="0" applyFont="1" applyBorder="1" applyAlignment="1">
      <alignment vertical="center" wrapText="1"/>
    </xf>
    <xf numFmtId="9" fontId="20" fillId="13" borderId="100" xfId="0" applyNumberFormat="1" applyFont="1" applyFill="1" applyBorder="1" applyAlignment="1">
      <alignment horizontal="center" vertical="center"/>
    </xf>
    <xf numFmtId="0" fontId="2" fillId="18" borderId="58" xfId="0" applyFont="1" applyFill="1" applyBorder="1" applyAlignment="1">
      <alignment horizontal="center" vertical="center"/>
    </xf>
    <xf numFmtId="0" fontId="2" fillId="18" borderId="98" xfId="0" applyFont="1" applyFill="1" applyBorder="1" applyAlignment="1">
      <alignment horizontal="center" vertical="center"/>
    </xf>
    <xf numFmtId="0" fontId="17" fillId="15" borderId="5" xfId="0" applyFont="1" applyFill="1" applyBorder="1"/>
    <xf numFmtId="0" fontId="4" fillId="9" borderId="70" xfId="0" applyFont="1" applyFill="1" applyBorder="1" applyAlignment="1">
      <alignment vertical="center"/>
    </xf>
    <xf numFmtId="0" fontId="4" fillId="9" borderId="69" xfId="0" applyFont="1" applyFill="1" applyBorder="1" applyAlignment="1">
      <alignment vertical="center"/>
    </xf>
    <xf numFmtId="0" fontId="4" fillId="9" borderId="70" xfId="0" applyFont="1" applyFill="1" applyBorder="1" applyAlignment="1">
      <alignment horizontal="center" vertical="center"/>
    </xf>
    <xf numFmtId="0" fontId="2" fillId="14" borderId="116" xfId="0" applyFont="1" applyFill="1" applyBorder="1" applyAlignment="1">
      <alignment horizontal="center" vertical="center"/>
    </xf>
    <xf numFmtId="0" fontId="4" fillId="9" borderId="85" xfId="0" applyFont="1" applyFill="1" applyBorder="1" applyAlignment="1">
      <alignment vertical="center"/>
    </xf>
    <xf numFmtId="10" fontId="3" fillId="9" borderId="78" xfId="0" applyNumberFormat="1" applyFont="1" applyFill="1" applyBorder="1" applyAlignment="1">
      <alignment horizontal="center" vertical="center"/>
    </xf>
    <xf numFmtId="0" fontId="2" fillId="14" borderId="122" xfId="0" applyFont="1" applyFill="1" applyBorder="1" applyAlignment="1">
      <alignment horizontal="left" vertical="center"/>
    </xf>
    <xf numFmtId="0" fontId="2" fillId="8" borderId="65" xfId="0" applyFont="1" applyFill="1" applyBorder="1" applyAlignment="1">
      <alignment horizontal="left" vertical="top" wrapText="1"/>
    </xf>
    <xf numFmtId="0" fontId="15" fillId="16" borderId="84" xfId="0" applyFont="1" applyFill="1" applyBorder="1" applyAlignment="1">
      <alignment horizontal="left" vertical="center"/>
    </xf>
    <xf numFmtId="0" fontId="2" fillId="16" borderId="88" xfId="0" applyFont="1" applyFill="1" applyBorder="1" applyAlignment="1">
      <alignment horizontal="center" vertical="center"/>
    </xf>
    <xf numFmtId="0" fontId="2" fillId="18" borderId="55" xfId="0" applyFont="1" applyFill="1" applyBorder="1" applyAlignment="1">
      <alignment horizontal="left" vertical="center"/>
    </xf>
    <xf numFmtId="0" fontId="15" fillId="16" borderId="57" xfId="0" applyFont="1" applyFill="1" applyBorder="1" applyAlignment="1">
      <alignment horizontal="center" vertical="center"/>
    </xf>
    <xf numFmtId="0" fontId="4" fillId="9" borderId="80" xfId="0" applyFont="1" applyFill="1" applyBorder="1" applyAlignment="1">
      <alignment vertical="center"/>
    </xf>
    <xf numFmtId="0" fontId="2" fillId="16" borderId="10" xfId="0" applyFont="1" applyFill="1" applyBorder="1" applyAlignment="1">
      <alignment horizontal="left" vertical="center"/>
    </xf>
    <xf numFmtId="0" fontId="5" fillId="16" borderId="7" xfId="0" applyFont="1" applyFill="1" applyBorder="1"/>
    <xf numFmtId="0" fontId="4" fillId="10" borderId="131" xfId="0" applyFont="1" applyFill="1" applyBorder="1" applyAlignment="1">
      <alignment horizontal="center"/>
    </xf>
    <xf numFmtId="0" fontId="2" fillId="16" borderId="114" xfId="0" applyFont="1" applyFill="1" applyBorder="1" applyAlignment="1">
      <alignment horizontal="center" vertical="center"/>
    </xf>
    <xf numFmtId="0" fontId="2" fillId="16" borderId="112" xfId="0" applyFont="1" applyFill="1" applyBorder="1" applyAlignment="1">
      <alignment horizontal="center" vertical="center"/>
    </xf>
    <xf numFmtId="0" fontId="2" fillId="16" borderId="113" xfId="0" applyFont="1" applyFill="1" applyBorder="1" applyAlignment="1">
      <alignment horizontal="center" vertical="center"/>
    </xf>
    <xf numFmtId="0" fontId="2" fillId="16" borderId="92" xfId="0" applyFont="1" applyFill="1" applyBorder="1" applyAlignment="1">
      <alignment horizontal="center" vertical="center"/>
    </xf>
    <xf numFmtId="0" fontId="2" fillId="16" borderId="115" xfId="0" applyFont="1" applyFill="1" applyBorder="1" applyAlignment="1">
      <alignment horizontal="center" vertical="center"/>
    </xf>
    <xf numFmtId="0" fontId="2" fillId="8" borderId="128" xfId="0" applyFont="1" applyFill="1" applyBorder="1" applyAlignment="1">
      <alignment horizontal="center" vertical="center"/>
    </xf>
    <xf numFmtId="0" fontId="2" fillId="8" borderId="121" xfId="0" applyFont="1" applyFill="1" applyBorder="1" applyAlignment="1">
      <alignment horizontal="center" vertical="center"/>
    </xf>
    <xf numFmtId="0" fontId="22" fillId="14" borderId="17" xfId="0" applyFont="1" applyFill="1" applyBorder="1" applyAlignment="1">
      <alignment horizontal="right" vertical="center"/>
    </xf>
    <xf numFmtId="0" fontId="11" fillId="16" borderId="23" xfId="0" applyFont="1" applyFill="1" applyBorder="1" applyAlignment="1">
      <alignment horizontal="center" vertical="center"/>
    </xf>
    <xf numFmtId="0" fontId="11" fillId="16" borderId="130" xfId="0" applyFont="1" applyFill="1" applyBorder="1" applyAlignment="1">
      <alignment horizontal="left" vertical="center"/>
    </xf>
    <xf numFmtId="0" fontId="11" fillId="15" borderId="109" xfId="0" applyFont="1" applyFill="1" applyBorder="1" applyAlignment="1">
      <alignment horizontal="center" vertical="center"/>
    </xf>
    <xf numFmtId="0" fontId="2" fillId="16" borderId="87" xfId="0" applyFont="1" applyFill="1" applyBorder="1" applyAlignment="1">
      <alignment horizontal="center" vertical="center"/>
    </xf>
    <xf numFmtId="0" fontId="11" fillId="14" borderId="119" xfId="0" applyFont="1" applyFill="1" applyBorder="1" applyAlignment="1">
      <alignment horizontal="center" vertical="center"/>
    </xf>
    <xf numFmtId="0" fontId="2" fillId="11" borderId="54" xfId="0" applyFont="1" applyFill="1" applyBorder="1" applyAlignment="1">
      <alignment horizontal="left" vertical="center"/>
    </xf>
    <xf numFmtId="0" fontId="2" fillId="8" borderId="81" xfId="0" applyFont="1" applyFill="1" applyBorder="1" applyAlignment="1">
      <alignment horizontal="center" vertical="top" wrapText="1"/>
    </xf>
    <xf numFmtId="0" fontId="11" fillId="8" borderId="101" xfId="0" applyFont="1" applyFill="1" applyBorder="1" applyAlignment="1">
      <alignment horizontal="left" vertical="center"/>
    </xf>
    <xf numFmtId="0" fontId="5" fillId="17" borderId="31" xfId="0" applyFont="1" applyFill="1" applyBorder="1" applyAlignment="1">
      <alignment horizontal="center" vertical="center"/>
    </xf>
    <xf numFmtId="0" fontId="2" fillId="11" borderId="111" xfId="0" applyFont="1" applyFill="1" applyBorder="1" applyAlignment="1">
      <alignment horizontal="left" vertical="center"/>
    </xf>
    <xf numFmtId="0" fontId="2" fillId="15" borderId="66" xfId="0" applyFont="1" applyFill="1" applyBorder="1" applyAlignment="1">
      <alignment horizontal="left" vertical="center" wrapText="1"/>
    </xf>
    <xf numFmtId="0" fontId="5" fillId="17" borderId="4" xfId="0" applyFont="1" applyFill="1" applyBorder="1" applyAlignment="1">
      <alignment horizontal="center" vertical="center"/>
    </xf>
    <xf numFmtId="0" fontId="2" fillId="15" borderId="24" xfId="0" applyFont="1" applyFill="1" applyBorder="1" applyAlignment="1">
      <alignment horizontal="left" vertical="center"/>
    </xf>
    <xf numFmtId="0" fontId="2" fillId="15" borderId="109" xfId="0" applyFont="1" applyFill="1" applyBorder="1" applyAlignment="1">
      <alignment horizontal="left" vertical="center" wrapText="1"/>
    </xf>
    <xf numFmtId="0" fontId="5" fillId="14" borderId="18" xfId="0" applyFont="1" applyFill="1" applyBorder="1" applyAlignment="1">
      <alignment horizontal="center" vertical="center"/>
    </xf>
    <xf numFmtId="0" fontId="2" fillId="8" borderId="65" xfId="0" applyFont="1" applyFill="1" applyBorder="1" applyAlignment="1">
      <alignment horizontal="left" vertical="center" wrapText="1"/>
    </xf>
    <xf numFmtId="0" fontId="2" fillId="12" borderId="122" xfId="0" applyFont="1" applyFill="1" applyBorder="1" applyAlignment="1">
      <alignment horizontal="left" vertical="center"/>
    </xf>
    <xf numFmtId="0" fontId="5" fillId="19" borderId="3" xfId="0" applyFont="1" applyFill="1" applyBorder="1" applyAlignment="1">
      <alignment horizontal="center" vertical="center"/>
    </xf>
    <xf numFmtId="0" fontId="11" fillId="15" borderId="98" xfId="0" applyFont="1" applyFill="1" applyBorder="1" applyAlignment="1">
      <alignment horizontal="center" vertical="center"/>
    </xf>
    <xf numFmtId="0" fontId="2" fillId="12" borderId="91" xfId="0" applyFont="1" applyFill="1" applyBorder="1" applyAlignment="1">
      <alignment horizontal="center" vertical="center"/>
    </xf>
    <xf numFmtId="0" fontId="2" fillId="16" borderId="89" xfId="0" applyFont="1" applyFill="1" applyBorder="1" applyAlignment="1">
      <alignment horizontal="left" vertical="center"/>
    </xf>
    <xf numFmtId="0" fontId="14" fillId="14" borderId="76" xfId="0" applyFont="1" applyFill="1" applyBorder="1"/>
    <xf numFmtId="0" fontId="14" fillId="14" borderId="0" xfId="0" applyFont="1" applyFill="1" applyAlignment="1">
      <alignment horizontal="center" vertical="center"/>
    </xf>
    <xf numFmtId="0" fontId="14" fillId="14" borderId="0" xfId="2" applyFont="1" applyFill="1" applyBorder="1"/>
    <xf numFmtId="0" fontId="2" fillId="12" borderId="16" xfId="0" applyFont="1" applyFill="1" applyBorder="1" applyAlignment="1">
      <alignment horizontal="center" vertical="center"/>
    </xf>
    <xf numFmtId="0" fontId="2" fillId="12" borderId="84" xfId="0" applyFont="1" applyFill="1" applyBorder="1" applyAlignment="1">
      <alignment horizontal="center" vertical="center"/>
    </xf>
    <xf numFmtId="0" fontId="11" fillId="16" borderId="57" xfId="0" applyFont="1" applyFill="1" applyBorder="1" applyAlignment="1">
      <alignment horizontal="left" vertical="center"/>
    </xf>
    <xf numFmtId="0" fontId="2" fillId="16" borderId="89" xfId="0" applyFont="1" applyFill="1" applyBorder="1" applyAlignment="1">
      <alignment horizontal="center" vertical="center"/>
    </xf>
    <xf numFmtId="0" fontId="4" fillId="15" borderId="85" xfId="0" applyFont="1" applyFill="1" applyBorder="1" applyAlignment="1">
      <alignment horizontal="center"/>
    </xf>
    <xf numFmtId="0" fontId="11" fillId="15" borderId="62" xfId="0" applyFont="1" applyFill="1" applyBorder="1" applyAlignment="1">
      <alignment horizontal="left" vertical="top" wrapText="1"/>
    </xf>
    <xf numFmtId="0" fontId="2" fillId="12" borderId="94" xfId="0" applyFont="1" applyFill="1" applyBorder="1" applyAlignment="1">
      <alignment horizontal="center" vertical="center"/>
    </xf>
    <xf numFmtId="0" fontId="2" fillId="11" borderId="13" xfId="0" applyFont="1" applyFill="1" applyBorder="1" applyAlignment="1">
      <alignment horizontal="center" vertical="center"/>
    </xf>
    <xf numFmtId="0" fontId="4" fillId="9" borderId="69" xfId="0" applyFont="1" applyFill="1" applyBorder="1" applyAlignment="1">
      <alignment horizontal="center" vertical="center"/>
    </xf>
    <xf numFmtId="0" fontId="2" fillId="15" borderId="118" xfId="0" applyFont="1" applyFill="1" applyBorder="1" applyAlignment="1">
      <alignment horizontal="left" vertical="center"/>
    </xf>
    <xf numFmtId="0" fontId="2" fillId="15" borderId="2" xfId="0" applyFont="1" applyFill="1" applyBorder="1" applyAlignment="1">
      <alignment horizontal="center" vertical="center"/>
    </xf>
    <xf numFmtId="0" fontId="2" fillId="12" borderId="54" xfId="0" applyFont="1" applyFill="1" applyBorder="1" applyAlignment="1">
      <alignment horizontal="center" vertical="center"/>
    </xf>
    <xf numFmtId="0" fontId="2" fillId="12" borderId="75" xfId="0" applyFont="1" applyFill="1" applyBorder="1" applyAlignment="1">
      <alignment horizontal="center" vertical="center"/>
    </xf>
    <xf numFmtId="0" fontId="2" fillId="12" borderId="88" xfId="0" applyFont="1" applyFill="1" applyBorder="1" applyAlignment="1">
      <alignment horizontal="left" vertical="center"/>
    </xf>
    <xf numFmtId="0" fontId="2" fillId="16" borderId="71" xfId="0" applyFont="1" applyFill="1" applyBorder="1" applyAlignment="1">
      <alignment horizontal="left" vertical="center"/>
    </xf>
    <xf numFmtId="0" fontId="2" fillId="16" borderId="120" xfId="0" applyFont="1" applyFill="1" applyBorder="1" applyAlignment="1">
      <alignment horizontal="left" vertical="center"/>
    </xf>
    <xf numFmtId="0" fontId="11" fillId="16" borderId="75" xfId="0" applyFont="1" applyFill="1" applyBorder="1" applyAlignment="1">
      <alignment horizontal="left" vertical="center"/>
    </xf>
    <xf numFmtId="0" fontId="11" fillId="15" borderId="91" xfId="0" applyFont="1" applyFill="1" applyBorder="1" applyAlignment="1">
      <alignment horizontal="center" vertical="center"/>
    </xf>
    <xf numFmtId="0" fontId="2" fillId="13" borderId="52" xfId="0" applyFont="1" applyFill="1" applyBorder="1" applyAlignment="1">
      <alignment horizontal="center" vertical="center"/>
    </xf>
    <xf numFmtId="0" fontId="2" fillId="12" borderId="55" xfId="0" applyFont="1" applyFill="1" applyBorder="1" applyAlignment="1">
      <alignment horizontal="left" vertical="center"/>
    </xf>
    <xf numFmtId="0" fontId="11" fillId="15" borderId="53" xfId="0" applyFont="1" applyFill="1" applyBorder="1" applyAlignment="1">
      <alignment horizontal="left" vertical="center"/>
    </xf>
    <xf numFmtId="0" fontId="2" fillId="12" borderId="84" xfId="0" applyFont="1" applyFill="1" applyBorder="1" applyAlignment="1">
      <alignment horizontal="left" vertical="center"/>
    </xf>
    <xf numFmtId="0" fontId="3" fillId="0" borderId="0" xfId="0" applyFont="1" applyAlignment="1">
      <alignment vertical="center"/>
    </xf>
    <xf numFmtId="0" fontId="2" fillId="12" borderId="122" xfId="0" applyFont="1" applyFill="1" applyBorder="1" applyAlignment="1">
      <alignment horizontal="center" vertical="center"/>
    </xf>
    <xf numFmtId="0" fontId="22" fillId="14" borderId="17" xfId="0" applyFont="1" applyFill="1" applyBorder="1" applyAlignment="1">
      <alignment horizontal="center" vertical="center"/>
    </xf>
    <xf numFmtId="0" fontId="24" fillId="16" borderId="7" xfId="0" applyFont="1" applyFill="1" applyBorder="1"/>
    <xf numFmtId="0" fontId="2" fillId="12" borderId="14" xfId="0" applyFont="1" applyFill="1" applyBorder="1" applyAlignment="1">
      <alignment horizontal="left" vertical="center"/>
    </xf>
    <xf numFmtId="0" fontId="2" fillId="13" borderId="53" xfId="0" applyFont="1" applyFill="1" applyBorder="1" applyAlignment="1">
      <alignment horizontal="center" vertical="center"/>
    </xf>
    <xf numFmtId="164" fontId="3" fillId="9" borderId="0" xfId="0" applyNumberFormat="1" applyFont="1" applyFill="1" applyAlignment="1">
      <alignment horizontal="center" vertical="center"/>
    </xf>
    <xf numFmtId="165" fontId="3" fillId="9" borderId="0" xfId="0" applyNumberFormat="1" applyFont="1" applyFill="1" applyAlignment="1">
      <alignment horizontal="center" vertical="center"/>
    </xf>
    <xf numFmtId="166" fontId="3" fillId="9" borderId="0" xfId="0" applyNumberFormat="1" applyFont="1" applyFill="1" applyAlignment="1">
      <alignment horizontal="center" vertical="center"/>
    </xf>
    <xf numFmtId="0" fontId="3" fillId="9" borderId="0" xfId="0" applyFont="1" applyFill="1" applyAlignment="1">
      <alignment horizontal="center" vertical="center"/>
    </xf>
    <xf numFmtId="0" fontId="2" fillId="14" borderId="60" xfId="0" applyFont="1" applyFill="1" applyBorder="1" applyAlignment="1">
      <alignment horizontal="left" vertical="center"/>
    </xf>
    <xf numFmtId="0" fontId="11" fillId="14" borderId="59" xfId="0" applyFont="1" applyFill="1" applyBorder="1" applyAlignment="1">
      <alignment horizontal="left" vertical="center"/>
    </xf>
    <xf numFmtId="0" fontId="2" fillId="14" borderId="59" xfId="0" applyFont="1" applyFill="1" applyBorder="1" applyAlignment="1">
      <alignment horizontal="center" vertical="center"/>
    </xf>
    <xf numFmtId="0" fontId="2" fillId="14" borderId="2" xfId="0" applyFont="1" applyFill="1" applyBorder="1" applyAlignment="1">
      <alignment horizontal="center" vertical="center"/>
    </xf>
    <xf numFmtId="0" fontId="2" fillId="14" borderId="98" xfId="0" applyFont="1" applyFill="1" applyBorder="1" applyAlignment="1">
      <alignment horizontal="center" vertical="center"/>
    </xf>
    <xf numFmtId="0" fontId="2" fillId="14" borderId="59" xfId="0" applyFont="1" applyFill="1" applyBorder="1" applyAlignment="1">
      <alignment horizontal="left" vertical="center"/>
    </xf>
    <xf numFmtId="0" fontId="2" fillId="14" borderId="5" xfId="0" applyFont="1" applyFill="1" applyBorder="1" applyAlignment="1">
      <alignment horizontal="center" vertical="center"/>
    </xf>
    <xf numFmtId="0" fontId="11" fillId="14" borderId="59" xfId="0" applyFont="1" applyFill="1" applyBorder="1" applyAlignment="1">
      <alignment horizontal="center" vertical="center"/>
    </xf>
    <xf numFmtId="0" fontId="2" fillId="14" borderId="60" xfId="0" applyFont="1" applyFill="1" applyBorder="1" applyAlignment="1">
      <alignment horizontal="center" vertical="center"/>
    </xf>
    <xf numFmtId="9" fontId="3" fillId="9" borderId="67" xfId="0" applyNumberFormat="1" applyFont="1" applyFill="1" applyBorder="1" applyAlignment="1">
      <alignment horizontal="center" vertical="center"/>
    </xf>
    <xf numFmtId="0" fontId="4" fillId="15" borderId="126" xfId="0" applyFont="1" applyFill="1" applyBorder="1" applyAlignment="1">
      <alignment horizontal="center"/>
    </xf>
    <xf numFmtId="0" fontId="4" fillId="15" borderId="130" xfId="0" applyFont="1" applyFill="1" applyBorder="1" applyAlignment="1">
      <alignment horizontal="center"/>
    </xf>
    <xf numFmtId="0" fontId="4" fillId="10" borderId="69" xfId="0" applyFont="1" applyFill="1" applyBorder="1" applyAlignment="1">
      <alignment horizontal="center"/>
    </xf>
    <xf numFmtId="0" fontId="16" fillId="15" borderId="85" xfId="0" applyFont="1" applyFill="1" applyBorder="1" applyAlignment="1">
      <alignment horizontal="center"/>
    </xf>
    <xf numFmtId="0" fontId="16" fillId="16" borderId="85" xfId="0" applyFont="1" applyFill="1" applyBorder="1" applyAlignment="1">
      <alignment horizontal="center"/>
    </xf>
    <xf numFmtId="0" fontId="16" fillId="14" borderId="69" xfId="0" applyFont="1" applyFill="1" applyBorder="1" applyAlignment="1">
      <alignment horizontal="left"/>
    </xf>
    <xf numFmtId="0" fontId="2" fillId="14" borderId="124" xfId="0" applyFont="1" applyFill="1" applyBorder="1" applyAlignment="1">
      <alignment horizontal="center" vertical="center"/>
    </xf>
    <xf numFmtId="0" fontId="2" fillId="14" borderId="5" xfId="0" applyFont="1" applyFill="1" applyBorder="1" applyAlignment="1">
      <alignment horizontal="left" vertical="center"/>
    </xf>
    <xf numFmtId="0" fontId="19" fillId="12" borderId="126" xfId="0" applyFont="1" applyFill="1" applyBorder="1" applyAlignment="1">
      <alignment horizontal="center" vertical="center"/>
    </xf>
    <xf numFmtId="0" fontId="2" fillId="12" borderId="98" xfId="0" applyFont="1" applyFill="1" applyBorder="1" applyAlignment="1">
      <alignment horizontal="center" vertical="center"/>
    </xf>
    <xf numFmtId="0" fontId="2" fillId="12" borderId="73" xfId="0" applyFont="1" applyFill="1" applyBorder="1" applyAlignment="1">
      <alignment horizontal="center" vertical="center"/>
    </xf>
    <xf numFmtId="0" fontId="11" fillId="14" borderId="60" xfId="0" applyFont="1" applyFill="1" applyBorder="1" applyAlignment="1">
      <alignment horizontal="center" vertical="center"/>
    </xf>
    <xf numFmtId="0" fontId="2" fillId="11" borderId="68" xfId="0" applyFont="1" applyFill="1" applyBorder="1" applyAlignment="1">
      <alignment horizontal="center" vertical="center"/>
    </xf>
    <xf numFmtId="0" fontId="4" fillId="5" borderId="69" xfId="0" applyFont="1" applyFill="1" applyBorder="1" applyAlignment="1">
      <alignment horizontal="center"/>
    </xf>
    <xf numFmtId="0" fontId="2" fillId="12" borderId="111" xfId="0" applyFont="1" applyFill="1" applyBorder="1" applyAlignment="1">
      <alignment horizontal="center" vertical="center"/>
    </xf>
    <xf numFmtId="0" fontId="11" fillId="14" borderId="122" xfId="0" applyFont="1" applyFill="1" applyBorder="1" applyAlignment="1">
      <alignment horizontal="center" vertical="center"/>
    </xf>
    <xf numFmtId="0" fontId="2" fillId="13" borderId="59" xfId="0" applyFont="1" applyFill="1" applyBorder="1" applyAlignment="1">
      <alignment horizontal="left" vertical="center"/>
    </xf>
    <xf numFmtId="0" fontId="2" fillId="13" borderId="59" xfId="0" applyFont="1" applyFill="1" applyBorder="1" applyAlignment="1">
      <alignment horizontal="center" vertical="center"/>
    </xf>
    <xf numFmtId="0" fontId="2" fillId="13" borderId="60" xfId="0" applyFont="1" applyFill="1" applyBorder="1" applyAlignment="1">
      <alignment horizontal="center" vertical="center"/>
    </xf>
    <xf numFmtId="0" fontId="2" fillId="11" borderId="42" xfId="0" applyFont="1" applyFill="1" applyBorder="1" applyAlignment="1">
      <alignment horizontal="left" vertical="center"/>
    </xf>
    <xf numFmtId="0" fontId="4" fillId="13" borderId="69" xfId="0" applyFont="1" applyFill="1" applyBorder="1" applyAlignment="1">
      <alignment vertical="center"/>
    </xf>
    <xf numFmtId="0" fontId="10" fillId="18" borderId="97" xfId="0" applyFont="1" applyFill="1" applyBorder="1" applyAlignment="1">
      <alignment horizontal="center" vertical="center"/>
    </xf>
    <xf numFmtId="0" fontId="2" fillId="13" borderId="100" xfId="0" applyFont="1" applyFill="1" applyBorder="1" applyAlignment="1">
      <alignment horizontal="center" vertical="center"/>
    </xf>
    <xf numFmtId="0" fontId="16" fillId="14" borderId="130" xfId="0" applyFont="1" applyFill="1" applyBorder="1" applyAlignment="1">
      <alignment horizontal="left"/>
    </xf>
    <xf numFmtId="0" fontId="2" fillId="12" borderId="130" xfId="0" applyFont="1" applyFill="1" applyBorder="1" applyAlignment="1">
      <alignment horizontal="left" vertical="center"/>
    </xf>
    <xf numFmtId="0" fontId="11" fillId="16" borderId="88" xfId="0" applyFont="1" applyFill="1" applyBorder="1" applyAlignment="1">
      <alignment horizontal="left" vertical="center"/>
    </xf>
    <xf numFmtId="0" fontId="2" fillId="0" borderId="36" xfId="0" applyFont="1" applyBorder="1" applyAlignment="1">
      <alignment horizontal="center" vertical="center"/>
    </xf>
    <xf numFmtId="0" fontId="2" fillId="12" borderId="119" xfId="0" applyFont="1" applyFill="1" applyBorder="1" applyAlignment="1">
      <alignment horizontal="left" vertical="center"/>
    </xf>
    <xf numFmtId="0" fontId="2" fillId="12" borderId="121" xfId="0" applyFont="1" applyFill="1" applyBorder="1" applyAlignment="1">
      <alignment horizontal="left" vertical="center"/>
    </xf>
    <xf numFmtId="0" fontId="2" fillId="11" borderId="16" xfId="0" applyFont="1" applyFill="1" applyBorder="1" applyAlignment="1">
      <alignment horizontal="center" vertical="center"/>
    </xf>
    <xf numFmtId="0" fontId="3" fillId="0" borderId="2" xfId="0" applyFont="1" applyBorder="1" applyAlignment="1">
      <alignment horizontal="center" vertical="center"/>
    </xf>
    <xf numFmtId="0" fontId="20" fillId="14" borderId="102" xfId="0" applyFont="1" applyFill="1" applyBorder="1" applyAlignment="1">
      <alignment horizontal="center" vertical="center"/>
    </xf>
    <xf numFmtId="0" fontId="5" fillId="3" borderId="29" xfId="0" applyFont="1" applyFill="1" applyBorder="1" applyAlignment="1">
      <alignment horizontal="center" vertical="center"/>
    </xf>
    <xf numFmtId="0" fontId="2" fillId="12" borderId="47" xfId="0" applyFont="1" applyFill="1" applyBorder="1" applyAlignment="1">
      <alignment horizontal="center" vertical="center"/>
    </xf>
    <xf numFmtId="0" fontId="2" fillId="15" borderId="58" xfId="0" applyFont="1" applyFill="1" applyBorder="1" applyAlignment="1">
      <alignment horizontal="left" vertical="center"/>
    </xf>
    <xf numFmtId="0" fontId="2" fillId="15" borderId="21" xfId="0" applyFont="1" applyFill="1" applyBorder="1" applyAlignment="1">
      <alignment horizontal="left" vertical="center"/>
    </xf>
    <xf numFmtId="0" fontId="2" fillId="0" borderId="39" xfId="0" applyFont="1" applyBorder="1" applyAlignment="1">
      <alignment horizontal="center" vertical="center"/>
    </xf>
    <xf numFmtId="0" fontId="2" fillId="12" borderId="66" xfId="0" applyFont="1" applyFill="1" applyBorder="1" applyAlignment="1">
      <alignment horizontal="left" vertical="center" wrapText="1"/>
    </xf>
    <xf numFmtId="0" fontId="2" fillId="12" borderId="83" xfId="0" applyFont="1" applyFill="1" applyBorder="1" applyAlignment="1">
      <alignment horizontal="center" vertical="center"/>
    </xf>
    <xf numFmtId="0" fontId="2" fillId="15" borderId="83" xfId="0" applyFont="1" applyFill="1" applyBorder="1" applyAlignment="1">
      <alignment horizontal="center" vertical="center"/>
    </xf>
    <xf numFmtId="0" fontId="2" fillId="12" borderId="23" xfId="0" applyFont="1" applyFill="1" applyBorder="1" applyAlignment="1">
      <alignment horizontal="center" vertical="center"/>
    </xf>
    <xf numFmtId="0" fontId="5" fillId="19" borderId="33" xfId="0" applyFont="1" applyFill="1" applyBorder="1" applyAlignment="1">
      <alignment horizontal="center" vertical="center"/>
    </xf>
    <xf numFmtId="9" fontId="3" fillId="9" borderId="70" xfId="0" applyNumberFormat="1" applyFont="1" applyFill="1" applyBorder="1" applyAlignment="1">
      <alignment horizontal="center" vertical="center"/>
    </xf>
    <xf numFmtId="10" fontId="3" fillId="9" borderId="70" xfId="0" applyNumberFormat="1" applyFont="1" applyFill="1" applyBorder="1" applyAlignment="1">
      <alignment horizontal="center" vertical="center"/>
    </xf>
    <xf numFmtId="0" fontId="3" fillId="9" borderId="70" xfId="0" applyFont="1" applyFill="1" applyBorder="1" applyAlignment="1">
      <alignment horizontal="center" vertical="center"/>
    </xf>
    <xf numFmtId="166" fontId="3" fillId="9" borderId="79" xfId="0" applyNumberFormat="1" applyFont="1" applyFill="1" applyBorder="1" applyAlignment="1">
      <alignment horizontal="center" vertical="center"/>
    </xf>
    <xf numFmtId="166" fontId="3" fillId="9" borderId="70" xfId="0" applyNumberFormat="1" applyFont="1" applyFill="1" applyBorder="1" applyAlignment="1">
      <alignment horizontal="center" vertical="center"/>
    </xf>
    <xf numFmtId="165" fontId="4" fillId="16" borderId="50" xfId="0" applyNumberFormat="1" applyFont="1" applyFill="1" applyBorder="1" applyAlignment="1">
      <alignment horizontal="center" vertical="center"/>
    </xf>
    <xf numFmtId="165" fontId="4" fillId="16" borderId="51" xfId="0" applyNumberFormat="1" applyFont="1" applyFill="1" applyBorder="1" applyAlignment="1">
      <alignment horizontal="center" vertical="center"/>
    </xf>
    <xf numFmtId="165" fontId="3" fillId="9" borderId="70" xfId="0" applyNumberFormat="1" applyFont="1" applyFill="1" applyBorder="1" applyAlignment="1">
      <alignment horizontal="center" vertical="center"/>
    </xf>
    <xf numFmtId="165" fontId="3" fillId="9" borderId="79" xfId="0" applyNumberFormat="1" applyFont="1" applyFill="1" applyBorder="1" applyAlignment="1">
      <alignment horizontal="center" vertical="center"/>
    </xf>
    <xf numFmtId="165" fontId="3" fillId="9" borderId="85" xfId="0" applyNumberFormat="1" applyFont="1" applyFill="1" applyBorder="1" applyAlignment="1">
      <alignment horizontal="center" vertical="center"/>
    </xf>
    <xf numFmtId="0" fontId="3" fillId="9" borderId="85" xfId="0" applyFont="1" applyFill="1" applyBorder="1" applyAlignment="1">
      <alignment horizontal="center" vertical="center"/>
    </xf>
    <xf numFmtId="0" fontId="3" fillId="9" borderId="79" xfId="0" applyFont="1" applyFill="1" applyBorder="1" applyAlignment="1">
      <alignment horizontal="center" vertical="center"/>
    </xf>
    <xf numFmtId="166" fontId="3" fillId="9" borderId="85" xfId="0" applyNumberFormat="1" applyFont="1" applyFill="1" applyBorder="1" applyAlignment="1">
      <alignment horizontal="center" vertical="center"/>
    </xf>
    <xf numFmtId="164" fontId="3" fillId="9" borderId="79" xfId="0" applyNumberFormat="1" applyFont="1" applyFill="1" applyBorder="1" applyAlignment="1">
      <alignment horizontal="center" vertical="center"/>
    </xf>
    <xf numFmtId="164" fontId="3" fillId="9" borderId="70" xfId="0" applyNumberFormat="1" applyFont="1" applyFill="1" applyBorder="1" applyAlignment="1">
      <alignment horizontal="center" vertical="center"/>
    </xf>
    <xf numFmtId="164" fontId="3" fillId="9" borderId="85" xfId="0" applyNumberFormat="1" applyFont="1" applyFill="1" applyBorder="1" applyAlignment="1">
      <alignment horizontal="center" vertical="center"/>
    </xf>
    <xf numFmtId="0" fontId="4" fillId="16" borderId="70" xfId="0" applyFont="1" applyFill="1" applyBorder="1" applyAlignment="1">
      <alignment horizontal="center" vertical="center"/>
    </xf>
    <xf numFmtId="0" fontId="4" fillId="16" borderId="69" xfId="0" applyFont="1" applyFill="1" applyBorder="1" applyAlignment="1">
      <alignment horizontal="center" vertical="center"/>
    </xf>
    <xf numFmtId="165" fontId="4" fillId="16" borderId="15" xfId="0" applyNumberFormat="1" applyFont="1" applyFill="1" applyBorder="1" applyAlignment="1">
      <alignment horizontal="center" vertical="center"/>
    </xf>
    <xf numFmtId="165" fontId="4" fillId="16" borderId="35" xfId="0" applyNumberFormat="1" applyFont="1" applyFill="1" applyBorder="1" applyAlignment="1">
      <alignment horizontal="center" vertical="center"/>
    </xf>
    <xf numFmtId="0" fontId="4" fillId="16" borderId="80" xfId="0" applyFont="1" applyFill="1" applyBorder="1" applyAlignment="1">
      <alignment horizontal="center" vertical="center"/>
    </xf>
    <xf numFmtId="0" fontId="4" fillId="9" borderId="70" xfId="0" applyFont="1" applyFill="1" applyBorder="1" applyAlignment="1">
      <alignment horizontal="center" vertical="center"/>
    </xf>
    <xf numFmtId="166" fontId="4" fillId="16" borderId="80" xfId="0" applyNumberFormat="1" applyFont="1" applyFill="1" applyBorder="1" applyAlignment="1">
      <alignment horizontal="center" vertical="center"/>
    </xf>
    <xf numFmtId="166" fontId="4" fillId="16" borderId="69" xfId="0" applyNumberFormat="1" applyFont="1" applyFill="1" applyBorder="1" applyAlignment="1">
      <alignment horizontal="center" vertical="center"/>
    </xf>
    <xf numFmtId="0" fontId="4" fillId="9" borderId="79" xfId="0" applyFont="1" applyFill="1" applyBorder="1" applyAlignment="1">
      <alignment horizontal="center" vertical="center"/>
    </xf>
    <xf numFmtId="0" fontId="4" fillId="9" borderId="69" xfId="0" applyFont="1" applyFill="1" applyBorder="1" applyAlignment="1">
      <alignment horizontal="center" vertical="center"/>
    </xf>
    <xf numFmtId="0" fontId="3" fillId="14" borderId="70" xfId="0" applyFont="1" applyFill="1" applyBorder="1" applyAlignment="1">
      <alignment horizontal="center" vertical="center"/>
    </xf>
    <xf numFmtId="0" fontId="3" fillId="14" borderId="69" xfId="0" applyFont="1" applyFill="1" applyBorder="1" applyAlignment="1">
      <alignment horizontal="center" vertical="center"/>
    </xf>
    <xf numFmtId="0" fontId="7" fillId="9" borderId="15" xfId="2" applyFill="1" applyBorder="1" applyAlignment="1">
      <alignment horizontal="left" vertical="top"/>
    </xf>
    <xf numFmtId="0" fontId="7" fillId="9" borderId="8" xfId="2" applyFill="1" applyBorder="1" applyAlignment="1">
      <alignment horizontal="left" vertical="top"/>
    </xf>
    <xf numFmtId="0" fontId="7" fillId="9" borderId="35" xfId="2" applyFill="1" applyBorder="1" applyAlignment="1">
      <alignment horizontal="left" vertical="top"/>
    </xf>
    <xf numFmtId="0" fontId="7" fillId="9" borderId="3" xfId="2" applyFill="1" applyBorder="1" applyAlignment="1">
      <alignment horizontal="left" vertical="top"/>
    </xf>
    <xf numFmtId="0" fontId="3" fillId="15" borderId="25" xfId="2" applyFont="1" applyFill="1" applyBorder="1" applyAlignment="1">
      <alignment horizontal="left" vertical="top"/>
    </xf>
    <xf numFmtId="0" fontId="3" fillId="15" borderId="27" xfId="2" applyFont="1" applyFill="1" applyBorder="1" applyAlignment="1">
      <alignment horizontal="left" vertical="top"/>
    </xf>
    <xf numFmtId="0" fontId="4" fillId="9" borderId="77" xfId="0" applyFont="1" applyFill="1" applyBorder="1" applyAlignment="1">
      <alignment horizontal="center"/>
    </xf>
    <xf numFmtId="0" fontId="4" fillId="9" borderId="61" xfId="0" applyFont="1" applyFill="1" applyBorder="1" applyAlignment="1">
      <alignment horizontal="center"/>
    </xf>
    <xf numFmtId="0" fontId="3" fillId="11" borderId="79" xfId="0" applyFont="1" applyFill="1" applyBorder="1" applyAlignment="1">
      <alignment horizontal="center" vertical="center"/>
    </xf>
    <xf numFmtId="0" fontId="3" fillId="11" borderId="70" xfId="0" applyFont="1" applyFill="1" applyBorder="1" applyAlignment="1">
      <alignment horizontal="center" vertical="center"/>
    </xf>
    <xf numFmtId="0" fontId="3" fillId="11" borderId="69" xfId="0" applyFont="1" applyFill="1" applyBorder="1" applyAlignment="1">
      <alignment horizontal="center" vertical="center"/>
    </xf>
    <xf numFmtId="167" fontId="27" fillId="0" borderId="25" xfId="0" applyNumberFormat="1" applyFont="1" applyBorder="1" applyAlignment="1">
      <alignment horizontal="center"/>
    </xf>
    <xf numFmtId="167" fontId="27" fillId="0" borderId="26" xfId="0" applyNumberFormat="1" applyFont="1" applyBorder="1" applyAlignment="1">
      <alignment horizontal="center"/>
    </xf>
    <xf numFmtId="167" fontId="27" fillId="0" borderId="27" xfId="0" applyNumberFormat="1" applyFont="1" applyBorder="1" applyAlignment="1">
      <alignment horizontal="center"/>
    </xf>
    <xf numFmtId="165" fontId="4" fillId="16" borderId="70" xfId="0" applyNumberFormat="1" applyFont="1" applyFill="1" applyBorder="1" applyAlignment="1">
      <alignment horizontal="center" vertical="center"/>
    </xf>
    <xf numFmtId="165" fontId="4" fillId="16" borderId="69" xfId="0" applyNumberFormat="1" applyFont="1" applyFill="1" applyBorder="1" applyAlignment="1">
      <alignment horizontal="center" vertical="center"/>
    </xf>
    <xf numFmtId="0" fontId="7" fillId="9" borderId="78" xfId="2" applyFill="1" applyBorder="1" applyAlignment="1">
      <alignment horizontal="left" vertical="top" wrapText="1"/>
    </xf>
    <xf numFmtId="0" fontId="7" fillId="9" borderId="76" xfId="2" applyFill="1" applyBorder="1" applyAlignment="1">
      <alignment horizontal="left" vertical="top" wrapText="1"/>
    </xf>
    <xf numFmtId="0" fontId="7" fillId="9" borderId="15" xfId="2" applyFill="1" applyBorder="1" applyAlignment="1">
      <alignment horizontal="left" vertical="top" wrapText="1"/>
    </xf>
    <xf numFmtId="0" fontId="7" fillId="9" borderId="7" xfId="2" applyFill="1" applyBorder="1" applyAlignment="1">
      <alignment horizontal="left" vertical="top" wrapText="1"/>
    </xf>
    <xf numFmtId="0" fontId="7" fillId="9" borderId="67" xfId="2" applyFill="1" applyBorder="1" applyAlignment="1">
      <alignment horizontal="left" vertical="top" wrapText="1"/>
    </xf>
    <xf numFmtId="0" fontId="7" fillId="9" borderId="19" xfId="2" applyFill="1" applyBorder="1" applyAlignment="1">
      <alignment horizontal="left" vertical="top" wrapText="1"/>
    </xf>
    <xf numFmtId="0" fontId="7" fillId="15" borderId="78" xfId="2" applyFill="1" applyBorder="1" applyAlignment="1">
      <alignment horizontal="left" vertical="top" wrapText="1"/>
    </xf>
    <xf numFmtId="0" fontId="7" fillId="15" borderId="76" xfId="2" applyFill="1" applyBorder="1" applyAlignment="1">
      <alignment horizontal="left" vertical="top" wrapText="1"/>
    </xf>
    <xf numFmtId="0" fontId="7" fillId="15" borderId="15" xfId="2" applyFill="1" applyBorder="1" applyAlignment="1">
      <alignment horizontal="left" vertical="top" wrapText="1"/>
    </xf>
    <xf numFmtId="0" fontId="7" fillId="15" borderId="7" xfId="2" applyFill="1" applyBorder="1" applyAlignment="1">
      <alignment horizontal="left" vertical="top" wrapText="1"/>
    </xf>
    <xf numFmtId="0" fontId="7" fillId="15" borderId="35" xfId="2" applyFill="1" applyBorder="1" applyAlignment="1">
      <alignment horizontal="left" vertical="top" wrapText="1"/>
    </xf>
    <xf numFmtId="0" fontId="7" fillId="15" borderId="5" xfId="2" applyFill="1" applyBorder="1" applyAlignment="1">
      <alignment horizontal="left" vertical="top" wrapText="1"/>
    </xf>
    <xf numFmtId="0" fontId="4" fillId="13" borderId="79" xfId="0" applyFont="1" applyFill="1" applyBorder="1" applyAlignment="1">
      <alignment horizontal="center" vertical="center"/>
    </xf>
    <xf numFmtId="0" fontId="4" fillId="15" borderId="70" xfId="0" applyFont="1" applyFill="1" applyBorder="1" applyAlignment="1">
      <alignment horizontal="center" vertical="center"/>
    </xf>
    <xf numFmtId="165" fontId="4" fillId="16" borderId="80" xfId="0" applyNumberFormat="1" applyFont="1" applyFill="1" applyBorder="1" applyAlignment="1">
      <alignment horizontal="center" vertical="center"/>
    </xf>
    <xf numFmtId="0" fontId="3" fillId="9" borderId="69" xfId="0" applyFont="1" applyFill="1" applyBorder="1" applyAlignment="1">
      <alignment horizontal="center" vertical="center"/>
    </xf>
    <xf numFmtId="0" fontId="7" fillId="9" borderId="0" xfId="2" applyFill="1" applyBorder="1" applyAlignment="1">
      <alignment horizontal="left" vertical="top" wrapText="1"/>
    </xf>
    <xf numFmtId="0" fontId="7" fillId="9" borderId="0" xfId="2" applyFill="1" applyBorder="1" applyAlignment="1">
      <alignment horizontal="left" vertical="top"/>
    </xf>
    <xf numFmtId="0" fontId="7" fillId="9" borderId="2" xfId="2" applyFill="1" applyBorder="1" applyAlignment="1">
      <alignment horizontal="left" vertical="top"/>
    </xf>
    <xf numFmtId="0" fontId="7" fillId="9" borderId="34" xfId="2" applyFill="1" applyBorder="1" applyAlignment="1">
      <alignment horizontal="left" vertical="top"/>
    </xf>
    <xf numFmtId="0" fontId="3" fillId="15" borderId="79" xfId="0" applyFont="1" applyFill="1" applyBorder="1" applyAlignment="1">
      <alignment horizontal="center" vertical="center"/>
    </xf>
    <xf numFmtId="0" fontId="3" fillId="15" borderId="70" xfId="0" applyFont="1" applyFill="1" applyBorder="1" applyAlignment="1">
      <alignment horizontal="center" vertical="center"/>
    </xf>
    <xf numFmtId="0" fontId="3" fillId="15" borderId="69" xfId="0" applyFont="1" applyFill="1" applyBorder="1" applyAlignment="1">
      <alignment horizontal="center" vertical="center"/>
    </xf>
    <xf numFmtId="0" fontId="4" fillId="9" borderId="0" xfId="2" applyFont="1" applyFill="1" applyBorder="1" applyAlignment="1">
      <alignment horizontal="left" vertical="top"/>
    </xf>
    <xf numFmtId="0" fontId="4" fillId="9" borderId="8" xfId="2" applyFont="1" applyFill="1" applyBorder="1" applyAlignment="1">
      <alignment horizontal="left" vertical="top"/>
    </xf>
    <xf numFmtId="0" fontId="4" fillId="9" borderId="24" xfId="2" applyFont="1" applyFill="1" applyBorder="1" applyAlignment="1">
      <alignment horizontal="left" vertical="top"/>
    </xf>
    <xf numFmtId="0" fontId="4" fillId="9" borderId="11" xfId="2" applyFont="1" applyFill="1" applyBorder="1" applyAlignment="1">
      <alignment horizontal="left" vertical="top"/>
    </xf>
    <xf numFmtId="0" fontId="7" fillId="9" borderId="24" xfId="2" applyFill="1" applyBorder="1" applyAlignment="1">
      <alignment horizontal="left" vertical="top"/>
    </xf>
    <xf numFmtId="0" fontId="7" fillId="9" borderId="84" xfId="2" applyFill="1" applyBorder="1" applyAlignment="1">
      <alignment horizontal="left" vertical="top" wrapText="1"/>
    </xf>
    <xf numFmtId="0" fontId="7" fillId="9" borderId="84" xfId="2" applyFill="1" applyBorder="1" applyAlignment="1">
      <alignment horizontal="left" vertical="top"/>
    </xf>
    <xf numFmtId="0" fontId="3" fillId="11" borderId="85" xfId="0" applyFont="1" applyFill="1" applyBorder="1" applyAlignment="1">
      <alignment horizontal="center" vertical="center"/>
    </xf>
    <xf numFmtId="0" fontId="7" fillId="9" borderId="35" xfId="2" applyFill="1" applyBorder="1" applyAlignment="1">
      <alignment horizontal="left" vertical="top" wrapText="1"/>
    </xf>
    <xf numFmtId="0" fontId="7" fillId="9" borderId="5" xfId="2" applyFill="1" applyBorder="1" applyAlignment="1">
      <alignment horizontal="left" vertical="top" wrapText="1"/>
    </xf>
    <xf numFmtId="165" fontId="4" fillId="16" borderId="67" xfId="0" applyNumberFormat="1" applyFont="1" applyFill="1" applyBorder="1" applyAlignment="1">
      <alignment horizontal="center" vertical="center"/>
    </xf>
    <xf numFmtId="0" fontId="7" fillId="9" borderId="39" xfId="2" applyFill="1" applyBorder="1" applyAlignment="1">
      <alignment horizontal="left" vertical="top" wrapText="1"/>
    </xf>
    <xf numFmtId="0" fontId="7" fillId="9" borderId="11" xfId="2" applyFill="1" applyBorder="1" applyAlignment="1">
      <alignment horizontal="left" vertical="top"/>
    </xf>
    <xf numFmtId="165" fontId="4" fillId="16" borderId="87" xfId="0" applyNumberFormat="1" applyFont="1" applyFill="1" applyBorder="1" applyAlignment="1">
      <alignment horizontal="center"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center" vertical="center"/>
    </xf>
    <xf numFmtId="0" fontId="3" fillId="2" borderId="25"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30"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4" fillId="9" borderId="7" xfId="0" applyFont="1" applyFill="1" applyBorder="1" applyAlignment="1">
      <alignment horizontal="left" vertical="top"/>
    </xf>
    <xf numFmtId="0" fontId="4" fillId="9" borderId="63" xfId="0" applyFont="1" applyFill="1" applyBorder="1" applyAlignment="1">
      <alignment horizontal="left" vertical="top"/>
    </xf>
    <xf numFmtId="10" fontId="3" fillId="9" borderId="79" xfId="0" applyNumberFormat="1" applyFont="1" applyFill="1" applyBorder="1" applyAlignment="1">
      <alignment horizontal="center" vertical="center"/>
    </xf>
    <xf numFmtId="0" fontId="3" fillId="2" borderId="78" xfId="0" applyFont="1" applyFill="1" applyBorder="1" applyAlignment="1">
      <alignment horizontal="center" vertical="center"/>
    </xf>
    <xf numFmtId="0" fontId="3" fillId="2" borderId="39" xfId="0" applyFont="1" applyFill="1" applyBorder="1" applyAlignment="1">
      <alignment horizontal="center" vertical="center"/>
    </xf>
    <xf numFmtId="0" fontId="3" fillId="2" borderId="76" xfId="0" applyFont="1" applyFill="1" applyBorder="1" applyAlignment="1">
      <alignment horizontal="center" vertical="center"/>
    </xf>
    <xf numFmtId="9" fontId="3" fillId="9" borderId="79" xfId="0" applyNumberFormat="1" applyFont="1" applyFill="1" applyBorder="1" applyAlignment="1">
      <alignment horizontal="center" vertical="center"/>
    </xf>
    <xf numFmtId="0" fontId="4" fillId="15" borderId="79" xfId="0" applyFont="1" applyFill="1" applyBorder="1" applyAlignment="1">
      <alignment horizontal="left" vertical="top"/>
    </xf>
    <xf numFmtId="0" fontId="4" fillId="15" borderId="70" xfId="0" applyFont="1" applyFill="1" applyBorder="1" applyAlignment="1">
      <alignment horizontal="left" vertical="top"/>
    </xf>
    <xf numFmtId="0" fontId="4" fillId="15" borderId="69" xfId="0" applyFont="1" applyFill="1" applyBorder="1" applyAlignment="1">
      <alignment horizontal="left" vertical="top"/>
    </xf>
    <xf numFmtId="0" fontId="4" fillId="9" borderId="76" xfId="0" applyFont="1" applyFill="1" applyBorder="1" applyAlignment="1">
      <alignment horizontal="left" vertical="top" wrapText="1"/>
    </xf>
    <xf numFmtId="0" fontId="4" fillId="9" borderId="76" xfId="0" applyFont="1" applyFill="1" applyBorder="1" applyAlignment="1">
      <alignment horizontal="left" vertical="top"/>
    </xf>
    <xf numFmtId="0" fontId="4" fillId="9" borderId="70" xfId="0" applyFont="1" applyFill="1" applyBorder="1" applyAlignment="1">
      <alignment horizontal="left" vertical="top"/>
    </xf>
    <xf numFmtId="0" fontId="4" fillId="9" borderId="129" xfId="0" applyFont="1" applyFill="1" applyBorder="1" applyAlignment="1">
      <alignment horizontal="left" vertical="top"/>
    </xf>
    <xf numFmtId="165" fontId="4" fillId="16" borderId="86" xfId="0" applyNumberFormat="1" applyFont="1" applyFill="1" applyBorder="1" applyAlignment="1">
      <alignment horizontal="center" vertical="center"/>
    </xf>
    <xf numFmtId="165" fontId="4" fillId="16" borderId="90" xfId="0" applyNumberFormat="1" applyFont="1" applyFill="1" applyBorder="1" applyAlignment="1">
      <alignment horizontal="center" vertical="center"/>
    </xf>
    <xf numFmtId="0" fontId="4" fillId="16" borderId="85" xfId="0" applyFont="1" applyFill="1" applyBorder="1" applyAlignment="1">
      <alignment horizontal="center" vertical="center"/>
    </xf>
    <xf numFmtId="165" fontId="4" fillId="16" borderId="85" xfId="0" applyNumberFormat="1" applyFont="1" applyFill="1" applyBorder="1" applyAlignment="1">
      <alignment horizontal="center" vertical="center"/>
    </xf>
    <xf numFmtId="0" fontId="4" fillId="9" borderId="131" xfId="0" applyFont="1" applyFill="1" applyBorder="1" applyAlignment="1">
      <alignment horizontal="center"/>
    </xf>
    <xf numFmtId="0" fontId="4" fillId="9" borderId="79" xfId="0" applyFont="1" applyFill="1" applyBorder="1" applyAlignment="1">
      <alignment horizontal="left" vertical="top" wrapText="1"/>
    </xf>
    <xf numFmtId="0" fontId="4" fillId="9" borderId="70" xfId="0" applyFont="1" applyFill="1" applyBorder="1" applyAlignment="1">
      <alignment horizontal="left" vertical="top" wrapText="1"/>
    </xf>
    <xf numFmtId="0" fontId="4" fillId="9" borderId="129" xfId="0" applyFont="1" applyFill="1" applyBorder="1" applyAlignment="1">
      <alignment horizontal="left" vertical="top" wrapText="1"/>
    </xf>
    <xf numFmtId="0" fontId="7" fillId="9" borderId="75" xfId="2" applyFill="1" applyBorder="1" applyAlignment="1">
      <alignment horizontal="left" vertical="top" wrapText="1"/>
    </xf>
    <xf numFmtId="0" fontId="7" fillId="9" borderId="2" xfId="2" applyFill="1" applyBorder="1" applyAlignment="1">
      <alignment horizontal="left" vertical="top" wrapText="1"/>
    </xf>
    <xf numFmtId="0" fontId="3" fillId="0" borderId="35"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cellXfs>
  <cellStyles count="5">
    <cellStyle name="Comma" xfId="4" builtinId="3"/>
    <cellStyle name="Hyperlink" xfId="2" builtinId="8"/>
    <cellStyle name="Normal" xfId="0" builtinId="0"/>
    <cellStyle name="Normal 2" xfId="1" xr:uid="{00000000-0005-0000-0000-000002000000}"/>
    <cellStyle name="Normal 3" xfId="3" xr:uid="{64443871-E9B0-4663-BF56-041802A467B7}"/>
  </cellStyles>
  <dxfs count="8">
    <dxf>
      <font>
        <color theme="0"/>
      </font>
      <fill>
        <patternFill>
          <bgColor rgb="FF0066FF"/>
        </patternFill>
      </fill>
    </dxf>
    <dxf>
      <font>
        <color auto="1"/>
      </font>
      <fill>
        <patternFill>
          <bgColor rgb="FFFFFF00"/>
        </patternFill>
      </fill>
    </dxf>
    <dxf>
      <fill>
        <patternFill>
          <bgColor rgb="FFFF0000"/>
        </patternFill>
      </fill>
    </dxf>
    <dxf>
      <font>
        <color theme="1"/>
      </font>
      <fill>
        <patternFill>
          <bgColor rgb="FF92D050"/>
        </patternFill>
      </fill>
    </dxf>
    <dxf>
      <font>
        <color theme="0"/>
      </font>
      <fill>
        <patternFill>
          <bgColor rgb="FF0066FF"/>
        </patternFill>
      </fill>
    </dxf>
    <dxf>
      <fill>
        <patternFill>
          <bgColor rgb="FFFFFF00"/>
        </patternFill>
      </fill>
    </dxf>
    <dxf>
      <fill>
        <patternFill>
          <bgColor rgb="FFFF0000"/>
        </patternFill>
      </fill>
    </dxf>
    <dxf>
      <fill>
        <patternFill>
          <bgColor rgb="FF92D050"/>
        </patternFill>
      </fill>
    </dxf>
  </dxfs>
  <tableStyles count="0" defaultTableStyle="TableStyleMedium2" defaultPivotStyle="PivotStyleLight16"/>
  <colors>
    <mruColors>
      <color rgb="FF0066FF"/>
      <color rgb="FFFF99CC"/>
      <color rgb="FF99CCFF"/>
      <color rgb="FF0055FE"/>
      <color rgb="FFEEF3AF"/>
      <color rgb="FFFF3300"/>
      <color rgb="FF42DE5C"/>
      <color rgb="FF0000FF"/>
      <color rgb="FF669900"/>
      <color rgb="FF0037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0</xdr:row>
      <xdr:rowOff>76201</xdr:rowOff>
    </xdr:from>
    <xdr:to>
      <xdr:col>3</xdr:col>
      <xdr:colOff>838200</xdr:colOff>
      <xdr:row>5</xdr:row>
      <xdr:rowOff>57916</xdr:rowOff>
    </xdr:to>
    <xdr:pic>
      <xdr:nvPicPr>
        <xdr:cNvPr id="2" name="Picture 1">
          <a:extLst>
            <a:ext uri="{FF2B5EF4-FFF2-40B4-BE49-F238E27FC236}">
              <a16:creationId xmlns:a16="http://schemas.microsoft.com/office/drawing/2014/main" id="{9C5D1D3A-1BAE-AA79-CBE5-74B2D2155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76201"/>
          <a:ext cx="1333500" cy="74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56150_IWK%20AllPack%202026_TH_CABLIblue" TargetMode="External"/><Relationship Id="rId13" Type="http://schemas.openxmlformats.org/officeDocument/2006/relationships/printerSettings" Target="../printerSettings/printerSettings1.bin"/><Relationship Id="rId3" Type="http://schemas.openxmlformats.org/officeDocument/2006/relationships/hyperlink" Target="../../56060_Henkel%20Maribor_SI_VI5X" TargetMode="External"/><Relationship Id="rId7" Type="http://schemas.openxmlformats.org/officeDocument/2006/relationships/hyperlink" Target="../../56300_IWK%20TH_FP10%20Rockwell%20PLC" TargetMode="External"/><Relationship Id="rId12" Type="http://schemas.openxmlformats.org/officeDocument/2006/relationships/hyperlink" Target="file:///\\th01a2227\!Archiv\54XXX\54590_Winner%20Cosmed_TH_FP10" TargetMode="External"/><Relationship Id="rId2" Type="http://schemas.openxmlformats.org/officeDocument/2006/relationships/hyperlink" Target="../../56090_Mylan%20Laboratories_IN_SC5-OEM" TargetMode="External"/><Relationship Id="rId1" Type="http://schemas.openxmlformats.org/officeDocument/2006/relationships/hyperlink" Target="../../../mllukic/AppData/Roaming/55733_Galentic_IN_HC5" TargetMode="External"/><Relationship Id="rId6" Type="http://schemas.openxmlformats.org/officeDocument/2006/relationships/hyperlink" Target="file:///\\th01a2227\!Archiv\54XXX\54590_Winner%20Cosmed_TH_FP10" TargetMode="External"/><Relationship Id="rId11" Type="http://schemas.openxmlformats.org/officeDocument/2006/relationships/hyperlink" Target="../../56090_Mylan%20Laboratories_IN_SC5-OEM" TargetMode="External"/><Relationship Id="rId5" Type="http://schemas.openxmlformats.org/officeDocument/2006/relationships/hyperlink" Target="../../../mllukic/AppData/Roaming/56120_IWK%20Showroom_TH_FP10" TargetMode="External"/><Relationship Id="rId10" Type="http://schemas.openxmlformats.org/officeDocument/2006/relationships/hyperlink" Target="../../../mllukic/AppData/Roaming/55733_Galentic_IN_HC5" TargetMode="External"/><Relationship Id="rId4" Type="http://schemas.openxmlformats.org/officeDocument/2006/relationships/hyperlink" Target="../../56040_RB%20(Qingdao)_CN_SC5-CondomFeeder" TargetMode="External"/><Relationship Id="rId9" Type="http://schemas.openxmlformats.org/officeDocument/2006/relationships/hyperlink" Target="../../56000_SSL_TH_SC5-CondomFeeder"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A1:DP215"/>
  <sheetViews>
    <sheetView showGridLines="0" tabSelected="1" topLeftCell="C1" zoomScaleNormal="100" zoomScaleSheetLayoutView="100" workbookViewId="0">
      <pane xSplit="6" ySplit="8" topLeftCell="BB9" activePane="bottomRight" state="frozen"/>
      <selection pane="topRight" activeCell="AM1" sqref="AM1"/>
      <selection pane="bottomLeft" activeCell="A10" sqref="A10"/>
      <selection pane="bottomRight" activeCell="C101" sqref="C101:D108"/>
    </sheetView>
  </sheetViews>
  <sheetFormatPr defaultColWidth="9.140625" defaultRowHeight="12.75" outlineLevelRow="1" outlineLevelCol="1"/>
  <cols>
    <col min="1" max="1" width="8.42578125" style="2" hidden="1" customWidth="1"/>
    <col min="2" max="2" width="5.28515625" style="2" hidden="1" customWidth="1"/>
    <col min="3" max="3" width="8.7109375" style="75" customWidth="1"/>
    <col min="4" max="4" width="45.7109375" style="2" customWidth="1"/>
    <col min="5" max="5" width="5.85546875" style="2" customWidth="1"/>
    <col min="6" max="6" width="21.7109375" style="5" customWidth="1"/>
    <col min="7" max="7" width="14.140625" style="5" customWidth="1"/>
    <col min="8" max="8" width="15.42578125" style="5" customWidth="1" collapsed="1"/>
    <col min="9" max="11" width="15.7109375" style="5" hidden="1" customWidth="1" outlineLevel="1"/>
    <col min="12" max="12" width="19.28515625" style="5" hidden="1" customWidth="1" outlineLevel="1"/>
    <col min="13" max="14" width="12.140625" style="445" hidden="1" customWidth="1" outlineLevel="1"/>
    <col min="15" max="53" width="3.7109375" style="15" hidden="1" customWidth="1"/>
    <col min="54" max="80" width="3.7109375" style="15" customWidth="1"/>
    <col min="81" max="119" width="3.7109375" style="15" hidden="1" customWidth="1"/>
    <col min="120" max="120" width="85.28515625" style="2" customWidth="1"/>
    <col min="121" max="121" width="11" style="2" customWidth="1"/>
    <col min="122" max="16384" width="9.140625" style="2"/>
  </cols>
  <sheetData>
    <row r="1" spans="1:120" ht="12" customHeight="1">
      <c r="D1" s="169"/>
      <c r="E1" s="169"/>
      <c r="F1" s="170"/>
      <c r="G1" s="170"/>
      <c r="H1" s="170"/>
    </row>
    <row r="2" spans="1:120" ht="12" customHeight="1">
      <c r="D2" s="116"/>
      <c r="E2" s="116"/>
      <c r="F2" s="116"/>
      <c r="G2" s="378" t="s">
        <v>176</v>
      </c>
      <c r="H2" s="228" t="s">
        <v>0</v>
      </c>
    </row>
    <row r="3" spans="1:120" ht="12" customHeight="1">
      <c r="D3" s="116"/>
      <c r="E3" s="116"/>
      <c r="F3" s="170"/>
      <c r="G3" s="170"/>
      <c r="H3" s="171" t="s">
        <v>15</v>
      </c>
    </row>
    <row r="4" spans="1:120" ht="12" customHeight="1" thickBot="1">
      <c r="D4" s="116"/>
      <c r="E4" s="116"/>
      <c r="F4" s="170"/>
      <c r="G4" s="170"/>
      <c r="H4" s="172" t="s">
        <v>1</v>
      </c>
    </row>
    <row r="5" spans="1:120" ht="12" customHeight="1" thickBot="1">
      <c r="D5" s="116"/>
      <c r="E5" s="116"/>
      <c r="F5" s="170"/>
      <c r="G5" s="170"/>
      <c r="H5" s="10" t="s">
        <v>7</v>
      </c>
      <c r="I5" s="9"/>
      <c r="J5" s="9"/>
      <c r="K5" s="9"/>
      <c r="L5" s="9"/>
      <c r="M5" s="446"/>
      <c r="N5" s="446"/>
      <c r="O5" s="709" t="s">
        <v>180</v>
      </c>
      <c r="P5" s="709"/>
      <c r="Q5" s="709"/>
      <c r="R5" s="709"/>
      <c r="S5" s="709"/>
      <c r="T5" s="709"/>
      <c r="U5" s="709"/>
      <c r="V5" s="709"/>
      <c r="W5" s="709"/>
      <c r="X5" s="709"/>
      <c r="Y5" s="709"/>
      <c r="Z5" s="709"/>
      <c r="AA5" s="709"/>
      <c r="AB5" s="709"/>
      <c r="AC5" s="709"/>
      <c r="AD5" s="709"/>
      <c r="AE5" s="709"/>
      <c r="AF5" s="709"/>
      <c r="AG5" s="709"/>
      <c r="AH5" s="709"/>
      <c r="AI5" s="709"/>
      <c r="AJ5" s="709"/>
      <c r="AK5" s="709"/>
      <c r="AL5" s="709"/>
      <c r="AM5" s="709"/>
      <c r="AN5" s="710"/>
      <c r="AO5" s="711" t="s">
        <v>239</v>
      </c>
      <c r="AP5" s="709"/>
      <c r="AQ5" s="709"/>
      <c r="AR5" s="709"/>
      <c r="AS5" s="709"/>
      <c r="AT5" s="709"/>
      <c r="AU5" s="709"/>
      <c r="AV5" s="709"/>
      <c r="AW5" s="709"/>
      <c r="AX5" s="709"/>
      <c r="AY5" s="709"/>
      <c r="AZ5" s="709"/>
      <c r="BA5" s="709"/>
      <c r="BB5" s="709"/>
      <c r="BC5" s="709"/>
      <c r="BD5" s="709"/>
      <c r="BE5" s="709"/>
      <c r="BF5" s="709"/>
      <c r="BG5" s="709"/>
      <c r="BH5" s="709"/>
      <c r="BI5" s="709"/>
      <c r="BJ5" s="709"/>
      <c r="BK5" s="709"/>
      <c r="BL5" s="709"/>
      <c r="BM5" s="709"/>
      <c r="BN5" s="709"/>
      <c r="BO5" s="709"/>
      <c r="BP5" s="709"/>
      <c r="BQ5" s="709"/>
      <c r="BR5" s="709"/>
      <c r="BS5" s="709"/>
      <c r="BT5" s="709"/>
      <c r="BU5" s="709"/>
      <c r="BV5" s="709"/>
      <c r="BW5" s="709"/>
      <c r="BX5" s="709"/>
      <c r="BY5" s="709"/>
      <c r="BZ5" s="709"/>
      <c r="CA5" s="709"/>
      <c r="CB5" s="709"/>
      <c r="CC5" s="709"/>
      <c r="CD5" s="709"/>
      <c r="CE5" s="709"/>
      <c r="CF5" s="709"/>
      <c r="CG5" s="709"/>
      <c r="CH5" s="709"/>
      <c r="CI5" s="709"/>
      <c r="CJ5" s="709"/>
      <c r="CK5" s="709"/>
      <c r="CL5" s="709"/>
      <c r="CM5" s="709"/>
      <c r="CN5" s="709"/>
      <c r="CO5" s="710"/>
      <c r="CP5" s="711" t="s">
        <v>421</v>
      </c>
      <c r="CQ5" s="709"/>
      <c r="CR5" s="709"/>
      <c r="CS5" s="709"/>
      <c r="CT5" s="709"/>
      <c r="CU5" s="709"/>
      <c r="CV5" s="709"/>
      <c r="CW5" s="709"/>
      <c r="CX5" s="709"/>
      <c r="CY5" s="709"/>
      <c r="CZ5" s="709"/>
      <c r="DA5" s="709"/>
      <c r="DB5" s="709"/>
      <c r="DC5" s="709"/>
      <c r="DD5" s="709"/>
      <c r="DE5" s="709"/>
      <c r="DF5" s="709"/>
      <c r="DG5" s="709"/>
      <c r="DH5" s="709"/>
      <c r="DI5" s="709"/>
      <c r="DJ5" s="709"/>
      <c r="DK5" s="709"/>
      <c r="DL5" s="709"/>
      <c r="DM5" s="709"/>
      <c r="DN5" s="709"/>
      <c r="DO5" s="710"/>
    </row>
    <row r="6" spans="1:120" ht="12" customHeight="1" thickBot="1">
      <c r="F6" s="170"/>
      <c r="G6" s="170"/>
      <c r="H6" s="170"/>
      <c r="O6" s="711" t="s">
        <v>20</v>
      </c>
      <c r="P6" s="709"/>
      <c r="Q6" s="709"/>
      <c r="R6" s="709"/>
      <c r="S6" s="709"/>
      <c r="T6" s="709"/>
      <c r="U6" s="709"/>
      <c r="V6" s="709"/>
      <c r="W6" s="709"/>
      <c r="X6" s="709"/>
      <c r="Y6" s="709"/>
      <c r="Z6" s="709"/>
      <c r="AA6" s="710"/>
      <c r="AB6" s="711" t="s">
        <v>21</v>
      </c>
      <c r="AC6" s="709"/>
      <c r="AD6" s="709"/>
      <c r="AE6" s="709"/>
      <c r="AF6" s="709"/>
      <c r="AG6" s="709"/>
      <c r="AH6" s="709"/>
      <c r="AI6" s="709"/>
      <c r="AJ6" s="709"/>
      <c r="AK6" s="709"/>
      <c r="AL6" s="709"/>
      <c r="AM6" s="709"/>
      <c r="AN6" s="710"/>
      <c r="AO6" s="742" t="s">
        <v>17</v>
      </c>
      <c r="AP6" s="743"/>
      <c r="AQ6" s="743"/>
      <c r="AR6" s="743"/>
      <c r="AS6" s="743"/>
      <c r="AT6" s="743"/>
      <c r="AU6" s="743"/>
      <c r="AV6" s="743"/>
      <c r="AW6" s="743"/>
      <c r="AX6" s="743"/>
      <c r="AY6" s="743"/>
      <c r="AZ6" s="743"/>
      <c r="BA6" s="744"/>
      <c r="BB6" s="742" t="s">
        <v>19</v>
      </c>
      <c r="BC6" s="743"/>
      <c r="BD6" s="743"/>
      <c r="BE6" s="743"/>
      <c r="BF6" s="743"/>
      <c r="BG6" s="743"/>
      <c r="BH6" s="743"/>
      <c r="BI6" s="743"/>
      <c r="BJ6" s="743"/>
      <c r="BK6" s="743"/>
      <c r="BL6" s="743"/>
      <c r="BM6" s="743"/>
      <c r="BN6" s="743"/>
      <c r="BO6" s="744"/>
      <c r="BP6" s="711" t="s">
        <v>20</v>
      </c>
      <c r="BQ6" s="709"/>
      <c r="BR6" s="709"/>
      <c r="BS6" s="709"/>
      <c r="BT6" s="709"/>
      <c r="BU6" s="709"/>
      <c r="BV6" s="709"/>
      <c r="BW6" s="709"/>
      <c r="BX6" s="709"/>
      <c r="BY6" s="709"/>
      <c r="BZ6" s="709"/>
      <c r="CA6" s="709"/>
      <c r="CB6" s="616"/>
      <c r="CC6" s="709" t="s">
        <v>21</v>
      </c>
      <c r="CD6" s="709"/>
      <c r="CE6" s="709"/>
      <c r="CF6" s="709"/>
      <c r="CG6" s="709"/>
      <c r="CH6" s="709"/>
      <c r="CI6" s="709"/>
      <c r="CJ6" s="709"/>
      <c r="CK6" s="709"/>
      <c r="CL6" s="709"/>
      <c r="CM6" s="709"/>
      <c r="CN6" s="709"/>
      <c r="CO6" s="710"/>
      <c r="CP6" s="742" t="s">
        <v>17</v>
      </c>
      <c r="CQ6" s="743"/>
      <c r="CR6" s="743"/>
      <c r="CS6" s="743"/>
      <c r="CT6" s="743"/>
      <c r="CU6" s="743"/>
      <c r="CV6" s="743"/>
      <c r="CW6" s="743"/>
      <c r="CX6" s="743"/>
      <c r="CY6" s="743"/>
      <c r="CZ6" s="743"/>
      <c r="DA6" s="743"/>
      <c r="DB6" s="744"/>
      <c r="DC6" s="742" t="s">
        <v>19</v>
      </c>
      <c r="DD6" s="743"/>
      <c r="DE6" s="743"/>
      <c r="DF6" s="743"/>
      <c r="DG6" s="743"/>
      <c r="DH6" s="743"/>
      <c r="DI6" s="743"/>
      <c r="DJ6" s="743"/>
      <c r="DK6" s="743"/>
      <c r="DL6" s="743"/>
      <c r="DM6" s="743"/>
      <c r="DN6" s="743"/>
      <c r="DO6" s="744"/>
    </row>
    <row r="7" spans="1:120" ht="12" customHeight="1" thickBot="1">
      <c r="O7" s="712" t="s">
        <v>4</v>
      </c>
      <c r="P7" s="713"/>
      <c r="Q7" s="713"/>
      <c r="R7" s="713"/>
      <c r="S7" s="714"/>
      <c r="T7" s="712" t="s">
        <v>5</v>
      </c>
      <c r="U7" s="713"/>
      <c r="V7" s="713"/>
      <c r="W7" s="714"/>
      <c r="X7" s="712" t="s">
        <v>6</v>
      </c>
      <c r="Y7" s="713"/>
      <c r="Z7" s="713"/>
      <c r="AA7" s="714"/>
      <c r="AB7" s="712" t="s">
        <v>22</v>
      </c>
      <c r="AC7" s="713"/>
      <c r="AD7" s="713"/>
      <c r="AE7" s="713"/>
      <c r="AF7" s="714"/>
      <c r="AG7" s="712" t="s">
        <v>132</v>
      </c>
      <c r="AH7" s="713"/>
      <c r="AI7" s="713"/>
      <c r="AJ7" s="713"/>
      <c r="AK7" s="712" t="s">
        <v>8</v>
      </c>
      <c r="AL7" s="713"/>
      <c r="AM7" s="713"/>
      <c r="AN7" s="714"/>
      <c r="AO7" s="712" t="s">
        <v>9</v>
      </c>
      <c r="AP7" s="713"/>
      <c r="AQ7" s="713"/>
      <c r="AR7" s="713"/>
      <c r="AS7" s="714"/>
      <c r="AT7" s="712" t="s">
        <v>10</v>
      </c>
      <c r="AU7" s="713"/>
      <c r="AV7" s="713"/>
      <c r="AW7" s="713"/>
      <c r="AX7" s="712" t="s">
        <v>11</v>
      </c>
      <c r="AY7" s="713"/>
      <c r="AZ7" s="713"/>
      <c r="BA7" s="714"/>
      <c r="BB7" s="712" t="s">
        <v>12</v>
      </c>
      <c r="BC7" s="713"/>
      <c r="BD7" s="713"/>
      <c r="BE7" s="713"/>
      <c r="BF7" s="714"/>
      <c r="BG7" s="712" t="s">
        <v>13</v>
      </c>
      <c r="BH7" s="713"/>
      <c r="BI7" s="713"/>
      <c r="BJ7" s="713"/>
      <c r="BK7" s="712" t="s">
        <v>244</v>
      </c>
      <c r="BL7" s="713"/>
      <c r="BM7" s="713"/>
      <c r="BN7" s="713"/>
      <c r="BO7" s="714"/>
      <c r="BP7" s="712" t="s">
        <v>4</v>
      </c>
      <c r="BQ7" s="713"/>
      <c r="BR7" s="713"/>
      <c r="BS7" s="713"/>
      <c r="BT7" s="712" t="s">
        <v>5</v>
      </c>
      <c r="BU7" s="713"/>
      <c r="BV7" s="713"/>
      <c r="BW7" s="713"/>
      <c r="BX7" s="712" t="s">
        <v>6</v>
      </c>
      <c r="BY7" s="713"/>
      <c r="BZ7" s="713"/>
      <c r="CA7" s="713"/>
      <c r="CB7" s="713"/>
      <c r="CC7" s="712" t="s">
        <v>22</v>
      </c>
      <c r="CD7" s="713"/>
      <c r="CE7" s="713"/>
      <c r="CF7" s="714"/>
      <c r="CG7" s="713" t="s">
        <v>132</v>
      </c>
      <c r="CH7" s="713"/>
      <c r="CI7" s="713"/>
      <c r="CJ7" s="713"/>
      <c r="CK7" s="712" t="s">
        <v>8</v>
      </c>
      <c r="CL7" s="713"/>
      <c r="CM7" s="713"/>
      <c r="CN7" s="713"/>
      <c r="CO7" s="714"/>
      <c r="CP7" s="712" t="s">
        <v>9</v>
      </c>
      <c r="CQ7" s="713"/>
      <c r="CR7" s="713"/>
      <c r="CS7" s="713"/>
      <c r="CT7" s="712" t="s">
        <v>10</v>
      </c>
      <c r="CU7" s="713"/>
      <c r="CV7" s="713"/>
      <c r="CW7" s="713"/>
      <c r="CX7" s="712" t="s">
        <v>11</v>
      </c>
      <c r="CY7" s="713"/>
      <c r="CZ7" s="713"/>
      <c r="DA7" s="713"/>
      <c r="DB7" s="714"/>
      <c r="DC7" s="712" t="s">
        <v>12</v>
      </c>
      <c r="DD7" s="713"/>
      <c r="DE7" s="713"/>
      <c r="DF7" s="713"/>
      <c r="DG7" s="712" t="s">
        <v>13</v>
      </c>
      <c r="DH7" s="713"/>
      <c r="DI7" s="713"/>
      <c r="DJ7" s="713"/>
      <c r="DK7" s="712" t="s">
        <v>3</v>
      </c>
      <c r="DL7" s="713"/>
      <c r="DM7" s="713"/>
      <c r="DN7" s="713"/>
      <c r="DO7" s="714"/>
    </row>
    <row r="8" spans="1:120" ht="28.5" customHeight="1" thickBot="1">
      <c r="A8" s="20" t="s">
        <v>16</v>
      </c>
      <c r="B8" s="395"/>
      <c r="C8" s="715" t="s">
        <v>18</v>
      </c>
      <c r="D8" s="715"/>
      <c r="E8" s="393" t="s">
        <v>213</v>
      </c>
      <c r="F8" s="21" t="s">
        <v>99</v>
      </c>
      <c r="G8" s="21" t="s">
        <v>344</v>
      </c>
      <c r="H8" s="21" t="s">
        <v>105</v>
      </c>
      <c r="I8" s="716" t="s">
        <v>80</v>
      </c>
      <c r="J8" s="716"/>
      <c r="K8" s="717"/>
      <c r="L8" s="126" t="s">
        <v>41</v>
      </c>
      <c r="M8" s="447" t="s">
        <v>249</v>
      </c>
      <c r="N8" s="447" t="s">
        <v>250</v>
      </c>
      <c r="O8" s="3">
        <v>40</v>
      </c>
      <c r="P8" s="173">
        <v>41</v>
      </c>
      <c r="Q8" s="4">
        <v>42</v>
      </c>
      <c r="R8" s="173">
        <v>43</v>
      </c>
      <c r="S8" s="206">
        <v>44</v>
      </c>
      <c r="T8" s="354">
        <v>45</v>
      </c>
      <c r="U8" s="4">
        <v>46</v>
      </c>
      <c r="V8" s="173">
        <v>47</v>
      </c>
      <c r="W8" s="206">
        <v>48</v>
      </c>
      <c r="X8" s="354">
        <v>49</v>
      </c>
      <c r="Y8" s="4">
        <v>50</v>
      </c>
      <c r="Z8" s="173">
        <v>51</v>
      </c>
      <c r="AA8" s="206">
        <v>52</v>
      </c>
      <c r="AB8" s="375">
        <v>1</v>
      </c>
      <c r="AC8" s="366">
        <v>2</v>
      </c>
      <c r="AD8" s="366">
        <v>3</v>
      </c>
      <c r="AE8" s="366">
        <v>4</v>
      </c>
      <c r="AF8" s="365">
        <v>5</v>
      </c>
      <c r="AG8" s="362">
        <v>6</v>
      </c>
      <c r="AH8" s="366">
        <v>7</v>
      </c>
      <c r="AI8" s="366">
        <v>8</v>
      </c>
      <c r="AJ8" s="370">
        <v>9</v>
      </c>
      <c r="AK8" s="362">
        <v>10</v>
      </c>
      <c r="AL8" s="366">
        <v>11</v>
      </c>
      <c r="AM8" s="366">
        <v>12</v>
      </c>
      <c r="AN8" s="365">
        <v>13</v>
      </c>
      <c r="AO8" s="3">
        <v>14</v>
      </c>
      <c r="AP8" s="433">
        <v>15</v>
      </c>
      <c r="AQ8" s="537">
        <v>16</v>
      </c>
      <c r="AR8" s="366">
        <v>17</v>
      </c>
      <c r="AS8" s="365">
        <v>18</v>
      </c>
      <c r="AT8" s="362">
        <v>19</v>
      </c>
      <c r="AU8" s="366">
        <v>20</v>
      </c>
      <c r="AV8" s="366">
        <v>21</v>
      </c>
      <c r="AW8" s="370">
        <v>22</v>
      </c>
      <c r="AX8" s="528">
        <v>23</v>
      </c>
      <c r="AY8" s="4">
        <v>24</v>
      </c>
      <c r="AZ8" s="4">
        <v>25</v>
      </c>
      <c r="BA8" s="206">
        <v>26</v>
      </c>
      <c r="BB8" s="3">
        <v>27</v>
      </c>
      <c r="BC8" s="366">
        <v>28</v>
      </c>
      <c r="BD8" s="366">
        <v>29</v>
      </c>
      <c r="BE8" s="366">
        <v>30</v>
      </c>
      <c r="BF8" s="531">
        <v>31</v>
      </c>
      <c r="BG8" s="362">
        <v>32</v>
      </c>
      <c r="BH8" s="366">
        <v>33</v>
      </c>
      <c r="BI8" s="366">
        <v>34</v>
      </c>
      <c r="BJ8" s="370">
        <v>35</v>
      </c>
      <c r="BK8" s="3">
        <v>36</v>
      </c>
      <c r="BL8" s="4">
        <v>37</v>
      </c>
      <c r="BM8" s="4">
        <v>38</v>
      </c>
      <c r="BN8" s="4">
        <v>39</v>
      </c>
      <c r="BO8" s="206">
        <v>40</v>
      </c>
      <c r="BP8" s="3">
        <v>41</v>
      </c>
      <c r="BQ8" s="4">
        <v>42</v>
      </c>
      <c r="BR8" s="4">
        <v>43</v>
      </c>
      <c r="BS8" s="440">
        <v>44</v>
      </c>
      <c r="BT8" s="3">
        <v>45</v>
      </c>
      <c r="BU8" s="4">
        <v>46</v>
      </c>
      <c r="BV8" s="4">
        <v>47</v>
      </c>
      <c r="BW8" s="440">
        <v>48</v>
      </c>
      <c r="BX8" s="3">
        <v>49</v>
      </c>
      <c r="BY8" s="433">
        <v>50</v>
      </c>
      <c r="BZ8" s="4">
        <v>51</v>
      </c>
      <c r="CA8" s="440">
        <v>52</v>
      </c>
      <c r="CB8" s="627">
        <v>1</v>
      </c>
      <c r="CC8" s="3">
        <v>2</v>
      </c>
      <c r="CD8" s="4">
        <v>3</v>
      </c>
      <c r="CE8" s="4">
        <v>4</v>
      </c>
      <c r="CF8" s="206">
        <v>5</v>
      </c>
      <c r="CG8" s="618">
        <v>6</v>
      </c>
      <c r="CH8" s="4">
        <v>7</v>
      </c>
      <c r="CI8" s="4">
        <v>8</v>
      </c>
      <c r="CJ8" s="440">
        <v>9</v>
      </c>
      <c r="CK8" s="3">
        <v>10</v>
      </c>
      <c r="CL8" s="4">
        <v>11</v>
      </c>
      <c r="CM8" s="4">
        <v>12</v>
      </c>
      <c r="CN8" s="4">
        <v>13</v>
      </c>
      <c r="CO8" s="206">
        <v>14</v>
      </c>
      <c r="CP8" s="3">
        <v>15</v>
      </c>
      <c r="CQ8" s="433">
        <v>16</v>
      </c>
      <c r="CR8" s="4">
        <v>17</v>
      </c>
      <c r="CS8" s="440">
        <v>18</v>
      </c>
      <c r="CT8" s="3">
        <v>19</v>
      </c>
      <c r="CU8" s="4">
        <v>20</v>
      </c>
      <c r="CV8" s="4">
        <v>21</v>
      </c>
      <c r="CW8" s="440">
        <v>22</v>
      </c>
      <c r="CX8" s="3">
        <v>23</v>
      </c>
      <c r="CY8" s="4">
        <v>24</v>
      </c>
      <c r="CZ8" s="4">
        <v>25</v>
      </c>
      <c r="DA8" s="4">
        <v>26</v>
      </c>
      <c r="DB8" s="206">
        <v>27</v>
      </c>
      <c r="DC8" s="3">
        <v>28</v>
      </c>
      <c r="DD8" s="4">
        <v>29</v>
      </c>
      <c r="DE8" s="4">
        <v>30</v>
      </c>
      <c r="DF8" s="440">
        <v>31</v>
      </c>
      <c r="DG8" s="3">
        <v>32</v>
      </c>
      <c r="DH8" s="4">
        <v>33</v>
      </c>
      <c r="DI8" s="4">
        <v>34</v>
      </c>
      <c r="DJ8" s="440">
        <v>35</v>
      </c>
      <c r="DK8" s="3">
        <v>36</v>
      </c>
      <c r="DL8" s="4">
        <v>37</v>
      </c>
      <c r="DM8" s="4">
        <v>38</v>
      </c>
      <c r="DN8" s="4">
        <v>39</v>
      </c>
      <c r="DO8" s="206">
        <v>40</v>
      </c>
      <c r="DP8" s="159" t="s">
        <v>2</v>
      </c>
    </row>
    <row r="9" spans="1:120" ht="12.75" customHeight="1" thickBot="1">
      <c r="A9" s="14"/>
      <c r="B9" s="396"/>
      <c r="C9" s="76"/>
      <c r="D9" s="82"/>
      <c r="E9" s="1"/>
      <c r="F9" s="82"/>
      <c r="G9" s="82"/>
      <c r="H9" s="79"/>
      <c r="I9" s="82"/>
      <c r="J9" s="82"/>
      <c r="K9" s="82"/>
      <c r="L9" s="82"/>
      <c r="M9" s="448"/>
      <c r="N9" s="448"/>
      <c r="O9" s="67"/>
      <c r="P9" s="66"/>
      <c r="Q9" s="66"/>
      <c r="R9" s="66"/>
      <c r="S9" s="68"/>
      <c r="T9" s="67"/>
      <c r="U9" s="66"/>
      <c r="V9" s="66"/>
      <c r="W9" s="68"/>
      <c r="X9" s="67"/>
      <c r="Y9" s="66"/>
      <c r="Z9" s="66"/>
      <c r="AA9" s="412"/>
      <c r="AB9" s="67"/>
      <c r="AC9" s="66"/>
      <c r="AD9" s="66"/>
      <c r="AE9" s="66"/>
      <c r="AF9" s="68"/>
      <c r="AG9" s="67"/>
      <c r="AH9" s="66"/>
      <c r="AI9" s="66"/>
      <c r="AJ9" s="66"/>
      <c r="AK9" s="67"/>
      <c r="AL9" s="66"/>
      <c r="AM9" s="66"/>
      <c r="AN9" s="68"/>
      <c r="AO9" s="67"/>
      <c r="AP9" s="66"/>
      <c r="AQ9" s="66"/>
      <c r="AR9" s="66"/>
      <c r="AS9" s="68"/>
      <c r="AT9" s="67"/>
      <c r="AU9" s="66"/>
      <c r="AV9" s="66"/>
      <c r="AW9" s="66"/>
      <c r="AX9" s="67"/>
      <c r="AY9" s="66"/>
      <c r="AZ9" s="66"/>
      <c r="BA9" s="68"/>
      <c r="BB9" s="67"/>
      <c r="BC9" s="66"/>
      <c r="BD9" s="66"/>
      <c r="BE9" s="66"/>
      <c r="BF9" s="68"/>
      <c r="BG9" s="67"/>
      <c r="BH9" s="66"/>
      <c r="BI9" s="66"/>
      <c r="BJ9" s="66"/>
      <c r="BK9" s="67"/>
      <c r="BL9" s="66"/>
      <c r="BM9" s="66"/>
      <c r="BN9" s="66"/>
      <c r="BO9" s="68"/>
      <c r="BP9" s="67"/>
      <c r="BQ9" s="66"/>
      <c r="BR9" s="66"/>
      <c r="BS9" s="66"/>
      <c r="BT9" s="67"/>
      <c r="BU9" s="66"/>
      <c r="BV9" s="66"/>
      <c r="BW9" s="66"/>
      <c r="BX9" s="67"/>
      <c r="BY9" s="66"/>
      <c r="BZ9" s="66"/>
      <c r="CA9" s="622"/>
      <c r="CB9" s="66"/>
      <c r="CC9" s="67"/>
      <c r="CD9" s="66"/>
      <c r="CE9" s="66"/>
      <c r="CF9" s="68"/>
      <c r="CG9" s="66"/>
      <c r="CH9" s="66"/>
      <c r="CI9" s="66"/>
      <c r="CJ9" s="66"/>
      <c r="CK9" s="67"/>
      <c r="CL9" s="66"/>
      <c r="CM9" s="66"/>
      <c r="CN9" s="66"/>
      <c r="CO9" s="68"/>
      <c r="CP9" s="67"/>
      <c r="CQ9" s="66"/>
      <c r="CR9" s="66"/>
      <c r="CS9" s="66"/>
      <c r="CT9" s="67"/>
      <c r="CU9" s="66"/>
      <c r="CV9" s="66"/>
      <c r="CW9" s="66"/>
      <c r="CX9" s="67"/>
      <c r="CY9" s="66"/>
      <c r="CZ9" s="66"/>
      <c r="DA9" s="66"/>
      <c r="DB9" s="68"/>
      <c r="DC9" s="67"/>
      <c r="DD9" s="66"/>
      <c r="DE9" s="66"/>
      <c r="DF9" s="66"/>
      <c r="DG9" s="67"/>
      <c r="DH9" s="66"/>
      <c r="DI9" s="66"/>
      <c r="DJ9" s="66"/>
      <c r="DK9" s="67"/>
      <c r="DL9" s="66"/>
      <c r="DM9" s="66"/>
      <c r="DN9" s="66"/>
      <c r="DO9" s="68"/>
      <c r="DP9" s="66"/>
    </row>
    <row r="10" spans="1:120" ht="12.75" customHeight="1" collapsed="1">
      <c r="A10" s="14"/>
      <c r="B10" s="396"/>
      <c r="C10" s="706" t="s">
        <v>590</v>
      </c>
      <c r="D10" s="691"/>
      <c r="E10" s="664" t="s">
        <v>214</v>
      </c>
      <c r="F10" s="481" t="s">
        <v>94</v>
      </c>
      <c r="G10" s="652" t="s">
        <v>347</v>
      </c>
      <c r="H10" s="274" t="s">
        <v>40</v>
      </c>
      <c r="I10" s="636">
        <f>I17+I20+I24</f>
        <v>574127.80000000005</v>
      </c>
      <c r="J10" s="641">
        <f>J17</f>
        <v>0</v>
      </c>
      <c r="K10" s="631">
        <f>K17</f>
        <v>0</v>
      </c>
      <c r="L10" s="639" t="s">
        <v>41</v>
      </c>
      <c r="M10" s="720">
        <v>0.33979999999999999</v>
      </c>
      <c r="N10" s="724">
        <v>0.34</v>
      </c>
      <c r="O10" s="23"/>
      <c r="P10" s="25"/>
      <c r="Q10" s="25"/>
      <c r="R10" s="183"/>
      <c r="S10" s="27"/>
      <c r="T10" s="25"/>
      <c r="U10" s="11" t="s">
        <v>28</v>
      </c>
      <c r="V10" s="164" t="s">
        <v>27</v>
      </c>
      <c r="W10" s="26"/>
      <c r="X10" s="23"/>
      <c r="Y10" s="25"/>
      <c r="Z10" s="25"/>
      <c r="AA10" s="26"/>
      <c r="AB10" s="23"/>
      <c r="AC10" s="30"/>
      <c r="AD10" s="25"/>
      <c r="AE10" s="271" t="s">
        <v>26</v>
      </c>
      <c r="AF10" s="25"/>
      <c r="AG10" s="23"/>
      <c r="AH10" s="24"/>
      <c r="AI10" s="24"/>
      <c r="AJ10" s="26"/>
      <c r="AK10" s="23"/>
      <c r="AL10" s="24"/>
      <c r="AM10" s="24"/>
      <c r="AN10" s="26"/>
      <c r="AO10" s="300"/>
      <c r="AP10" s="257" t="s">
        <v>25</v>
      </c>
      <c r="AQ10" s="24"/>
      <c r="AR10" s="24"/>
      <c r="AS10" s="26"/>
      <c r="AT10" s="23"/>
      <c r="AU10" s="25"/>
      <c r="AV10" s="24"/>
      <c r="AW10" s="183"/>
      <c r="AX10" s="23"/>
      <c r="AY10" s="24"/>
      <c r="AZ10" s="271" t="s">
        <v>24</v>
      </c>
      <c r="BA10" s="258"/>
      <c r="BB10" s="115" t="s">
        <v>101</v>
      </c>
      <c r="BC10" s="164" t="s">
        <v>100</v>
      </c>
      <c r="BD10" s="257" t="s">
        <v>101</v>
      </c>
      <c r="BE10" s="164" t="s">
        <v>101</v>
      </c>
      <c r="BF10" s="293" t="s">
        <v>101</v>
      </c>
      <c r="BG10" s="115" t="s">
        <v>14</v>
      </c>
      <c r="BH10" s="58"/>
      <c r="BI10" s="58"/>
      <c r="BJ10" s="183"/>
      <c r="BK10" s="23"/>
      <c r="BL10" s="24"/>
      <c r="BM10" s="24"/>
      <c r="BN10" s="605" t="s">
        <v>30</v>
      </c>
      <c r="BO10" s="44" t="s">
        <v>109</v>
      </c>
      <c r="BP10" s="22" t="s">
        <v>109</v>
      </c>
      <c r="BQ10" s="339" t="s">
        <v>42</v>
      </c>
      <c r="BR10" s="24"/>
      <c r="BS10" s="26"/>
      <c r="BT10" s="23"/>
      <c r="BU10" s="25"/>
      <c r="BV10" s="24"/>
      <c r="BW10" s="183"/>
      <c r="BX10" s="23"/>
      <c r="BY10" s="24"/>
      <c r="BZ10" s="24"/>
      <c r="CA10" s="24"/>
      <c r="CB10" s="183"/>
      <c r="CC10" s="23"/>
      <c r="CD10" s="25"/>
      <c r="CE10" s="24"/>
      <c r="CF10" s="26"/>
      <c r="CG10" s="25"/>
      <c r="CH10" s="25"/>
      <c r="CI10" s="24"/>
      <c r="CJ10" s="183"/>
      <c r="CK10" s="23"/>
      <c r="CL10" s="24"/>
      <c r="CM10" s="24"/>
      <c r="CN10" s="24"/>
      <c r="CO10" s="27"/>
      <c r="CP10" s="23"/>
      <c r="CQ10" s="25"/>
      <c r="CR10" s="24"/>
      <c r="CS10" s="183"/>
      <c r="CT10" s="23"/>
      <c r="CU10" s="25"/>
      <c r="CV10" s="24"/>
      <c r="CW10" s="183"/>
      <c r="CX10" s="23"/>
      <c r="CY10" s="24"/>
      <c r="CZ10" s="24"/>
      <c r="DA10" s="24"/>
      <c r="DB10" s="27"/>
      <c r="DC10" s="23"/>
      <c r="DD10" s="25"/>
      <c r="DE10" s="24"/>
      <c r="DF10" s="183"/>
      <c r="DG10" s="23"/>
      <c r="DH10" s="25"/>
      <c r="DI10" s="24"/>
      <c r="DJ10" s="183"/>
      <c r="DK10" s="23"/>
      <c r="DL10" s="24"/>
      <c r="DM10" s="24"/>
      <c r="DN10" s="24"/>
      <c r="DO10" s="27"/>
      <c r="DP10" s="729" t="s">
        <v>552</v>
      </c>
    </row>
    <row r="11" spans="1:120" ht="12.75" hidden="1" customHeight="1" outlineLevel="1">
      <c r="A11" s="14"/>
      <c r="B11" s="396"/>
      <c r="C11" s="689"/>
      <c r="D11" s="657"/>
      <c r="E11" s="665"/>
      <c r="F11" s="42" t="s">
        <v>278</v>
      </c>
      <c r="G11" s="649"/>
      <c r="H11" s="482" t="s">
        <v>31</v>
      </c>
      <c r="I11" s="635"/>
      <c r="J11" s="642"/>
      <c r="K11" s="632"/>
      <c r="L11" s="630"/>
      <c r="M11" s="629"/>
      <c r="N11" s="628"/>
      <c r="O11" s="34"/>
      <c r="P11" s="129"/>
      <c r="Q11" s="129"/>
      <c r="R11" s="129"/>
      <c r="S11" s="142"/>
      <c r="T11" s="140" t="s">
        <v>221</v>
      </c>
      <c r="U11" s="32" t="s">
        <v>34</v>
      </c>
      <c r="V11" s="140" t="s">
        <v>199</v>
      </c>
      <c r="W11" s="142"/>
      <c r="X11" s="140" t="s">
        <v>281</v>
      </c>
      <c r="Y11" s="35"/>
      <c r="Z11" s="32" t="s">
        <v>304</v>
      </c>
      <c r="AA11" s="142"/>
      <c r="AB11" s="34"/>
      <c r="AC11" s="35"/>
      <c r="AD11" s="35"/>
      <c r="AE11" s="140" t="s">
        <v>206</v>
      </c>
      <c r="AF11" s="150" t="s">
        <v>111</v>
      </c>
      <c r="AG11" s="137" t="s">
        <v>280</v>
      </c>
      <c r="AH11" s="35"/>
      <c r="AI11" s="129"/>
      <c r="AJ11" s="35"/>
      <c r="AK11" s="149" t="s">
        <v>280</v>
      </c>
      <c r="AL11" s="35"/>
      <c r="AM11" s="203"/>
      <c r="AN11" s="195" t="s">
        <v>92</v>
      </c>
      <c r="AO11" s="137" t="s">
        <v>413</v>
      </c>
      <c r="AP11" s="35"/>
      <c r="AQ11" s="129"/>
      <c r="AR11" s="131" t="s">
        <v>414</v>
      </c>
      <c r="AS11" s="140" t="s">
        <v>431</v>
      </c>
      <c r="AT11" s="131" t="s">
        <v>449</v>
      </c>
      <c r="AU11" s="131" t="s">
        <v>450</v>
      </c>
      <c r="AV11" s="140" t="s">
        <v>450</v>
      </c>
      <c r="AW11" s="201" t="s">
        <v>463</v>
      </c>
      <c r="AX11" s="137" t="s">
        <v>92</v>
      </c>
      <c r="AY11" s="129"/>
      <c r="AZ11" s="129"/>
      <c r="BA11" s="150" t="s">
        <v>102</v>
      </c>
      <c r="BB11" s="149" t="s">
        <v>92</v>
      </c>
      <c r="BC11" s="131" t="s">
        <v>514</v>
      </c>
      <c r="BD11" s="140" t="s">
        <v>514</v>
      </c>
      <c r="BE11" s="140" t="s">
        <v>527</v>
      </c>
      <c r="BF11" s="201" t="s">
        <v>117</v>
      </c>
      <c r="BG11" s="137" t="s">
        <v>203</v>
      </c>
      <c r="BH11" s="129"/>
      <c r="BI11" s="157" t="s">
        <v>110</v>
      </c>
      <c r="BJ11" s="207" t="s">
        <v>399</v>
      </c>
      <c r="BK11" s="292" t="s">
        <v>138</v>
      </c>
      <c r="BL11" s="131" t="s">
        <v>565</v>
      </c>
      <c r="BM11" s="166" t="s">
        <v>399</v>
      </c>
      <c r="BN11" s="140" t="s">
        <v>587</v>
      </c>
      <c r="BO11" s="156" t="s">
        <v>247</v>
      </c>
      <c r="BP11" s="133" t="s">
        <v>551</v>
      </c>
      <c r="BQ11" s="117" t="s">
        <v>118</v>
      </c>
      <c r="BR11" s="129"/>
      <c r="BS11" s="156" t="s">
        <v>397</v>
      </c>
      <c r="BT11" s="34"/>
      <c r="BU11" s="129"/>
      <c r="BV11" s="129"/>
      <c r="BW11" s="203"/>
      <c r="BX11" s="130"/>
      <c r="BY11" s="80"/>
      <c r="BZ11" s="372"/>
      <c r="CA11" s="372"/>
      <c r="CB11" s="532"/>
      <c r="CC11" s="34"/>
      <c r="CD11" s="129"/>
      <c r="CE11" s="129"/>
      <c r="CF11" s="142"/>
      <c r="CG11" s="35"/>
      <c r="CH11" s="129"/>
      <c r="CI11" s="129"/>
      <c r="CJ11" s="203"/>
      <c r="CK11" s="130"/>
      <c r="CL11" s="80"/>
      <c r="CM11" s="372"/>
      <c r="CN11" s="372"/>
      <c r="CO11" s="441"/>
      <c r="CP11" s="34"/>
      <c r="CQ11" s="129"/>
      <c r="CR11" s="129"/>
      <c r="CS11" s="203"/>
      <c r="CT11" s="34"/>
      <c r="CU11" s="129"/>
      <c r="CV11" s="129"/>
      <c r="CW11" s="203"/>
      <c r="CX11" s="130"/>
      <c r="CY11" s="80"/>
      <c r="CZ11" s="372"/>
      <c r="DA11" s="372"/>
      <c r="DB11" s="441"/>
      <c r="DC11" s="34"/>
      <c r="DD11" s="129"/>
      <c r="DE11" s="129"/>
      <c r="DF11" s="203"/>
      <c r="DG11" s="34"/>
      <c r="DH11" s="129"/>
      <c r="DI11" s="129"/>
      <c r="DJ11" s="203"/>
      <c r="DK11" s="130"/>
      <c r="DL11" s="80"/>
      <c r="DM11" s="372"/>
      <c r="DN11" s="372"/>
      <c r="DO11" s="441"/>
      <c r="DP11" s="718"/>
    </row>
    <row r="12" spans="1:120" ht="12.75" hidden="1" customHeight="1" outlineLevel="1">
      <c r="A12" s="14"/>
      <c r="B12" s="396"/>
      <c r="C12" s="689"/>
      <c r="D12" s="657"/>
      <c r="E12" s="665"/>
      <c r="F12" s="357" t="s">
        <v>394</v>
      </c>
      <c r="G12" s="649"/>
      <c r="H12" s="483" t="s">
        <v>66</v>
      </c>
      <c r="I12" s="635"/>
      <c r="J12" s="642"/>
      <c r="K12" s="632"/>
      <c r="L12" s="630"/>
      <c r="M12" s="629"/>
      <c r="N12" s="628"/>
      <c r="O12" s="46"/>
      <c r="P12" s="47"/>
      <c r="Q12" s="47"/>
      <c r="R12" s="177"/>
      <c r="S12" s="190"/>
      <c r="T12" s="47"/>
      <c r="U12" s="32" t="s">
        <v>193</v>
      </c>
      <c r="V12" s="32" t="s">
        <v>194</v>
      </c>
      <c r="W12" s="199" t="s">
        <v>178</v>
      </c>
      <c r="X12" s="46"/>
      <c r="Y12" s="138"/>
      <c r="Z12" s="47"/>
      <c r="AA12" s="48"/>
      <c r="AB12" s="48"/>
      <c r="AC12" s="56" t="s">
        <v>198</v>
      </c>
      <c r="AD12" s="32" t="s">
        <v>76</v>
      </c>
      <c r="AE12" s="140" t="s">
        <v>324</v>
      </c>
      <c r="AF12" s="150" t="s">
        <v>65</v>
      </c>
      <c r="AG12" s="139" t="s">
        <v>358</v>
      </c>
      <c r="AH12" s="138"/>
      <c r="AI12" s="138"/>
      <c r="AJ12" s="48"/>
      <c r="AK12" s="46"/>
      <c r="AL12" s="32" t="s">
        <v>73</v>
      </c>
      <c r="AM12" s="140" t="s">
        <v>190</v>
      </c>
      <c r="AN12" s="48"/>
      <c r="AO12" s="46"/>
      <c r="AP12" s="138"/>
      <c r="AQ12" s="138"/>
      <c r="AR12" s="177"/>
      <c r="AS12" s="190"/>
      <c r="AT12" s="46"/>
      <c r="AU12" s="47"/>
      <c r="AV12" s="321"/>
      <c r="AW12" s="307" t="s">
        <v>52</v>
      </c>
      <c r="AX12" s="46"/>
      <c r="AY12" s="47"/>
      <c r="AZ12" s="47"/>
      <c r="BA12" s="190"/>
      <c r="BB12" s="47"/>
      <c r="BC12" s="47"/>
      <c r="BD12" s="47"/>
      <c r="BE12" s="177"/>
      <c r="BF12" s="223"/>
      <c r="BG12" s="46"/>
      <c r="BH12" s="47"/>
      <c r="BI12" s="140" t="s">
        <v>119</v>
      </c>
      <c r="BJ12" s="177"/>
      <c r="BK12" s="46"/>
      <c r="BL12" s="47"/>
      <c r="BM12" s="47"/>
      <c r="BN12" s="47"/>
      <c r="BO12" s="48"/>
      <c r="BP12" s="46"/>
      <c r="BQ12" s="138"/>
      <c r="BR12" s="47"/>
      <c r="BS12" s="48"/>
      <c r="BT12" s="46"/>
      <c r="BU12" s="138"/>
      <c r="BV12" s="47"/>
      <c r="BW12" s="177"/>
      <c r="BX12" s="46"/>
      <c r="BY12" s="47"/>
      <c r="BZ12" s="47"/>
      <c r="CA12" s="47"/>
      <c r="CB12" s="177"/>
      <c r="CC12" s="46"/>
      <c r="CD12" s="138"/>
      <c r="CE12" s="47"/>
      <c r="CF12" s="48"/>
      <c r="CG12" s="47"/>
      <c r="CH12" s="138"/>
      <c r="CI12" s="47"/>
      <c r="CJ12" s="177"/>
      <c r="CK12" s="46"/>
      <c r="CL12" s="47"/>
      <c r="CM12" s="47"/>
      <c r="CN12" s="47"/>
      <c r="CO12" s="48"/>
      <c r="CP12" s="46"/>
      <c r="CQ12" s="138"/>
      <c r="CR12" s="47"/>
      <c r="CS12" s="177"/>
      <c r="CT12" s="46"/>
      <c r="CU12" s="138"/>
      <c r="CV12" s="47"/>
      <c r="CW12" s="177"/>
      <c r="CX12" s="46"/>
      <c r="CY12" s="47"/>
      <c r="CZ12" s="47"/>
      <c r="DA12" s="47"/>
      <c r="DB12" s="48"/>
      <c r="DC12" s="46"/>
      <c r="DD12" s="138"/>
      <c r="DE12" s="47"/>
      <c r="DF12" s="177"/>
      <c r="DG12" s="46"/>
      <c r="DH12" s="138"/>
      <c r="DI12" s="47"/>
      <c r="DJ12" s="177"/>
      <c r="DK12" s="46"/>
      <c r="DL12" s="47"/>
      <c r="DM12" s="47"/>
      <c r="DN12" s="47"/>
      <c r="DO12" s="48"/>
      <c r="DP12" s="718"/>
    </row>
    <row r="13" spans="1:120" ht="12.75" hidden="1" customHeight="1" outlineLevel="1">
      <c r="A13" s="14"/>
      <c r="B13" s="396"/>
      <c r="C13" s="689"/>
      <c r="D13" s="657"/>
      <c r="E13" s="665"/>
      <c r="F13" s="357"/>
      <c r="G13" s="498"/>
      <c r="H13" s="483" t="s">
        <v>534</v>
      </c>
      <c r="I13" s="635"/>
      <c r="J13" s="642"/>
      <c r="K13" s="632"/>
      <c r="L13" s="630"/>
      <c r="M13" s="629"/>
      <c r="N13" s="628"/>
      <c r="O13" s="327"/>
      <c r="P13" s="328"/>
      <c r="Q13" s="328"/>
      <c r="R13" s="330"/>
      <c r="S13" s="286"/>
      <c r="T13" s="328"/>
      <c r="U13" s="328"/>
      <c r="V13" s="330"/>
      <c r="W13" s="286"/>
      <c r="X13" s="327"/>
      <c r="Y13" s="331"/>
      <c r="Z13" s="328"/>
      <c r="AA13" s="329"/>
      <c r="AB13" s="330"/>
      <c r="AC13" s="353"/>
      <c r="AD13" s="328"/>
      <c r="AE13" s="331"/>
      <c r="AF13" s="329"/>
      <c r="AG13" s="356"/>
      <c r="AH13" s="331"/>
      <c r="AI13" s="331"/>
      <c r="AJ13" s="329"/>
      <c r="AK13" s="327"/>
      <c r="AL13" s="328"/>
      <c r="AM13" s="331"/>
      <c r="AN13" s="329"/>
      <c r="AO13" s="523"/>
      <c r="AP13" s="331"/>
      <c r="AQ13" s="331"/>
      <c r="AR13" s="330"/>
      <c r="AS13" s="329"/>
      <c r="AT13" s="327"/>
      <c r="AU13" s="328"/>
      <c r="AV13" s="304"/>
      <c r="AW13" s="329"/>
      <c r="AX13" s="327"/>
      <c r="AY13" s="328"/>
      <c r="AZ13" s="328"/>
      <c r="BA13" s="329"/>
      <c r="BB13" s="328"/>
      <c r="BC13" s="272" t="s">
        <v>510</v>
      </c>
      <c r="BD13" s="328"/>
      <c r="BE13" s="328"/>
      <c r="BF13" s="329"/>
      <c r="BG13" s="327"/>
      <c r="BH13" s="330"/>
      <c r="BI13" s="223"/>
      <c r="BJ13" s="223"/>
      <c r="BK13" s="327"/>
      <c r="BL13" s="328"/>
      <c r="BM13" s="328"/>
      <c r="BN13" s="328"/>
      <c r="BO13" s="329"/>
      <c r="BP13" s="327"/>
      <c r="BQ13" s="331"/>
      <c r="BR13" s="328"/>
      <c r="BS13" s="329"/>
      <c r="BT13" s="327"/>
      <c r="BU13" s="331"/>
      <c r="BV13" s="328"/>
      <c r="BW13" s="330"/>
      <c r="BX13" s="327"/>
      <c r="BY13" s="328"/>
      <c r="BZ13" s="328"/>
      <c r="CA13" s="328"/>
      <c r="CB13" s="330"/>
      <c r="CC13" s="327"/>
      <c r="CD13" s="331"/>
      <c r="CE13" s="328"/>
      <c r="CF13" s="329"/>
      <c r="CG13" s="328"/>
      <c r="CH13" s="331"/>
      <c r="CI13" s="328"/>
      <c r="CJ13" s="330"/>
      <c r="CK13" s="327"/>
      <c r="CL13" s="328"/>
      <c r="CM13" s="328"/>
      <c r="CN13" s="328"/>
      <c r="CO13" s="329"/>
      <c r="CP13" s="327"/>
      <c r="CQ13" s="331"/>
      <c r="CR13" s="328"/>
      <c r="CS13" s="330"/>
      <c r="CT13" s="327"/>
      <c r="CU13" s="331"/>
      <c r="CV13" s="328"/>
      <c r="CW13" s="330"/>
      <c r="CX13" s="327"/>
      <c r="CY13" s="328"/>
      <c r="CZ13" s="328"/>
      <c r="DA13" s="328"/>
      <c r="DB13" s="329"/>
      <c r="DC13" s="327"/>
      <c r="DD13" s="331"/>
      <c r="DE13" s="328"/>
      <c r="DF13" s="330"/>
      <c r="DG13" s="327"/>
      <c r="DH13" s="331"/>
      <c r="DI13" s="328"/>
      <c r="DJ13" s="330"/>
      <c r="DK13" s="327"/>
      <c r="DL13" s="328"/>
      <c r="DM13" s="328"/>
      <c r="DN13" s="328"/>
      <c r="DO13" s="329"/>
      <c r="DP13" s="718"/>
    </row>
    <row r="14" spans="1:120" ht="12.75" hidden="1" customHeight="1" outlineLevel="1">
      <c r="A14" s="14"/>
      <c r="B14" s="396"/>
      <c r="C14" s="689"/>
      <c r="D14" s="657"/>
      <c r="E14" s="665"/>
      <c r="F14" s="225" t="s">
        <v>0</v>
      </c>
      <c r="G14" s="649" t="str">
        <f>G10</f>
        <v>Delivery</v>
      </c>
      <c r="H14" s="484" t="s">
        <v>129</v>
      </c>
      <c r="I14" s="635"/>
      <c r="J14" s="642"/>
      <c r="K14" s="632"/>
      <c r="L14" s="630"/>
      <c r="M14" s="629"/>
      <c r="N14" s="628"/>
      <c r="O14" s="218"/>
      <c r="P14" s="242"/>
      <c r="Q14" s="242"/>
      <c r="R14" s="242"/>
      <c r="S14" s="244"/>
      <c r="T14" s="242"/>
      <c r="U14" s="198" t="s">
        <v>28</v>
      </c>
      <c r="V14" s="316" t="s">
        <v>27</v>
      </c>
      <c r="W14" s="244"/>
      <c r="X14" s="218"/>
      <c r="Y14" s="242"/>
      <c r="Z14" s="242"/>
      <c r="AA14" s="246"/>
      <c r="AB14" s="218"/>
      <c r="AC14" s="317" t="s">
        <v>312</v>
      </c>
      <c r="AD14" s="242"/>
      <c r="AE14" s="276" t="s">
        <v>328</v>
      </c>
      <c r="AF14" s="246"/>
      <c r="AG14" s="218"/>
      <c r="AH14" s="242"/>
      <c r="AI14" s="242"/>
      <c r="AJ14" s="246"/>
      <c r="AK14" s="218"/>
      <c r="AL14" s="242"/>
      <c r="AM14" s="317" t="s">
        <v>379</v>
      </c>
      <c r="AN14" s="246"/>
      <c r="AO14" s="342" t="s">
        <v>402</v>
      </c>
      <c r="AP14" s="348" t="s">
        <v>425</v>
      </c>
      <c r="AQ14" s="251"/>
      <c r="AR14" s="251"/>
      <c r="AS14" s="246"/>
      <c r="AT14" s="218"/>
      <c r="AU14" s="242"/>
      <c r="AV14" s="242"/>
      <c r="AW14" s="382" t="s">
        <v>446</v>
      </c>
      <c r="AX14" s="218"/>
      <c r="AY14" s="242"/>
      <c r="AZ14" s="276" t="s">
        <v>487</v>
      </c>
      <c r="BA14" s="246"/>
      <c r="BB14" s="273" t="s">
        <v>128</v>
      </c>
      <c r="BC14" s="282" t="s">
        <v>127</v>
      </c>
      <c r="BD14" s="276" t="s">
        <v>531</v>
      </c>
      <c r="BE14" s="273" t="s">
        <v>517</v>
      </c>
      <c r="BF14" s="343" t="s">
        <v>517</v>
      </c>
      <c r="BG14" s="216" t="s">
        <v>14</v>
      </c>
      <c r="BH14" s="242"/>
      <c r="BI14" s="242"/>
      <c r="BJ14" s="245"/>
      <c r="BK14" s="218"/>
      <c r="BL14" s="242"/>
      <c r="BM14" s="83" t="s">
        <v>109</v>
      </c>
      <c r="BN14" s="551" t="s">
        <v>30</v>
      </c>
      <c r="BO14" s="256" t="s">
        <v>109</v>
      </c>
      <c r="BP14" s="567" t="s">
        <v>109</v>
      </c>
      <c r="BQ14" s="600" t="s">
        <v>42</v>
      </c>
      <c r="BR14" s="302"/>
      <c r="BS14" s="246"/>
      <c r="BT14" s="218"/>
      <c r="BU14" s="242"/>
      <c r="BV14" s="242"/>
      <c r="BW14" s="245"/>
      <c r="BX14" s="218"/>
      <c r="BY14" s="242"/>
      <c r="BZ14" s="242"/>
      <c r="CA14" s="242"/>
      <c r="CB14" s="245"/>
      <c r="CC14" s="218"/>
      <c r="CD14" s="242"/>
      <c r="CE14" s="242"/>
      <c r="CF14" s="246"/>
      <c r="CG14" s="242"/>
      <c r="CH14" s="242"/>
      <c r="CI14" s="242"/>
      <c r="CJ14" s="245"/>
      <c r="CK14" s="218"/>
      <c r="CL14" s="242"/>
      <c r="CM14" s="242"/>
      <c r="CN14" s="242"/>
      <c r="CO14" s="373"/>
      <c r="CP14" s="218"/>
      <c r="CQ14" s="242"/>
      <c r="CR14" s="242"/>
      <c r="CS14" s="245"/>
      <c r="CT14" s="218"/>
      <c r="CU14" s="242"/>
      <c r="CV14" s="242"/>
      <c r="CW14" s="245"/>
      <c r="CX14" s="218"/>
      <c r="CY14" s="242"/>
      <c r="CZ14" s="242"/>
      <c r="DA14" s="242"/>
      <c r="DB14" s="373"/>
      <c r="DC14" s="218"/>
      <c r="DD14" s="242"/>
      <c r="DE14" s="242"/>
      <c r="DF14" s="245"/>
      <c r="DG14" s="218"/>
      <c r="DH14" s="242"/>
      <c r="DI14" s="242"/>
      <c r="DJ14" s="245"/>
      <c r="DK14" s="218"/>
      <c r="DL14" s="242"/>
      <c r="DM14" s="242"/>
      <c r="DN14" s="242"/>
      <c r="DO14" s="373"/>
      <c r="DP14" s="718"/>
    </row>
    <row r="15" spans="1:120" ht="12.75" hidden="1" customHeight="1" outlineLevel="1">
      <c r="A15" s="14"/>
      <c r="B15" s="396"/>
      <c r="C15" s="689"/>
      <c r="D15" s="657"/>
      <c r="E15" s="665"/>
      <c r="F15" s="225" t="s">
        <v>15</v>
      </c>
      <c r="G15" s="649"/>
      <c r="H15" s="484" t="s">
        <v>130</v>
      </c>
      <c r="I15" s="635"/>
      <c r="J15" s="642"/>
      <c r="K15" s="632"/>
      <c r="L15" s="630"/>
      <c r="M15" s="629"/>
      <c r="N15" s="628"/>
      <c r="O15" s="278"/>
      <c r="P15" s="279"/>
      <c r="Q15" s="279"/>
      <c r="R15" s="64"/>
      <c r="S15" s="243"/>
      <c r="T15" s="146"/>
      <c r="U15" s="72"/>
      <c r="V15" s="73" t="s">
        <v>121</v>
      </c>
      <c r="W15" s="437"/>
      <c r="X15" s="278"/>
      <c r="Y15" s="437">
        <v>0.34</v>
      </c>
      <c r="Z15" s="474" t="s">
        <v>162</v>
      </c>
      <c r="AA15" s="277"/>
      <c r="AB15" s="278"/>
      <c r="AC15" s="279"/>
      <c r="AD15" s="279"/>
      <c r="AE15" s="337" t="s">
        <v>162</v>
      </c>
      <c r="AF15" s="437">
        <v>0.34</v>
      </c>
      <c r="AG15" s="278"/>
      <c r="AH15" s="279"/>
      <c r="AI15" s="346" t="s">
        <v>201</v>
      </c>
      <c r="AJ15" s="437">
        <v>0.34</v>
      </c>
      <c r="AK15" s="278"/>
      <c r="AL15" s="437">
        <v>0.36</v>
      </c>
      <c r="AM15" s="474" t="s">
        <v>201</v>
      </c>
      <c r="AN15" s="277"/>
      <c r="AO15" s="278"/>
      <c r="AP15" s="279"/>
      <c r="AQ15" s="279"/>
      <c r="AR15" s="519" t="s">
        <v>171</v>
      </c>
      <c r="AS15" s="437">
        <v>0.34</v>
      </c>
      <c r="AT15" s="146"/>
      <c r="AU15" s="72"/>
      <c r="AV15" s="519" t="s">
        <v>171</v>
      </c>
      <c r="AW15" s="322"/>
      <c r="AX15" s="146"/>
      <c r="AY15" s="72"/>
      <c r="AZ15" s="519" t="s">
        <v>488</v>
      </c>
      <c r="BA15" s="136"/>
      <c r="BB15" s="279"/>
      <c r="BC15" s="279"/>
      <c r="BD15" s="279"/>
      <c r="BE15" s="568" t="s">
        <v>530</v>
      </c>
      <c r="BF15" s="322"/>
      <c r="BG15" s="146"/>
      <c r="BH15" s="72"/>
      <c r="BI15" s="568" t="s">
        <v>241</v>
      </c>
      <c r="BJ15" s="322"/>
      <c r="BK15" s="278"/>
      <c r="BL15" s="279"/>
      <c r="BM15" s="279"/>
      <c r="BN15" s="247"/>
      <c r="BO15" s="374"/>
      <c r="BP15" s="146"/>
      <c r="BQ15" s="72"/>
      <c r="BR15" s="338"/>
      <c r="BS15" s="277"/>
      <c r="BT15" s="146"/>
      <c r="BU15" s="72"/>
      <c r="BV15" s="338"/>
      <c r="BW15" s="322"/>
      <c r="BX15" s="278"/>
      <c r="BY15" s="279"/>
      <c r="BZ15" s="279"/>
      <c r="CA15" s="279"/>
      <c r="CB15" s="617"/>
      <c r="CC15" s="146"/>
      <c r="CD15" s="72"/>
      <c r="CE15" s="338"/>
      <c r="CF15" s="277"/>
      <c r="CG15" s="72"/>
      <c r="CH15" s="72"/>
      <c r="CI15" s="338"/>
      <c r="CJ15" s="322"/>
      <c r="CK15" s="278"/>
      <c r="CL15" s="279"/>
      <c r="CM15" s="279"/>
      <c r="CN15" s="279"/>
      <c r="CO15" s="374"/>
      <c r="CP15" s="146"/>
      <c r="CQ15" s="72"/>
      <c r="CR15" s="338"/>
      <c r="CS15" s="322"/>
      <c r="CT15" s="146"/>
      <c r="CU15" s="72"/>
      <c r="CV15" s="338"/>
      <c r="CW15" s="322"/>
      <c r="CX15" s="278"/>
      <c r="CY15" s="279"/>
      <c r="CZ15" s="279"/>
      <c r="DA15" s="279"/>
      <c r="DB15" s="374"/>
      <c r="DC15" s="146"/>
      <c r="DD15" s="72"/>
      <c r="DE15" s="338"/>
      <c r="DF15" s="322"/>
      <c r="DG15" s="146"/>
      <c r="DH15" s="72"/>
      <c r="DI15" s="338"/>
      <c r="DJ15" s="322"/>
      <c r="DK15" s="278"/>
      <c r="DL15" s="279"/>
      <c r="DM15" s="279"/>
      <c r="DN15" s="279"/>
      <c r="DO15" s="374"/>
      <c r="DP15" s="719"/>
    </row>
    <row r="16" spans="1:120" ht="12.75" hidden="1" customHeight="1" outlineLevel="1">
      <c r="A16" s="14"/>
      <c r="B16" s="396"/>
      <c r="C16" s="689"/>
      <c r="D16" s="657"/>
      <c r="E16" s="665"/>
      <c r="F16" s="225" t="s">
        <v>15</v>
      </c>
      <c r="G16" s="496"/>
      <c r="H16" s="484" t="s">
        <v>157</v>
      </c>
      <c r="I16" s="635"/>
      <c r="J16" s="642"/>
      <c r="K16" s="632"/>
      <c r="L16" s="630"/>
      <c r="M16" s="629"/>
      <c r="N16" s="628"/>
      <c r="O16" s="154"/>
      <c r="P16" s="153"/>
      <c r="Q16" s="153"/>
      <c r="R16" s="200"/>
      <c r="S16" s="248"/>
      <c r="T16" s="153"/>
      <c r="U16" s="303" t="s">
        <v>279</v>
      </c>
      <c r="V16" s="249"/>
      <c r="W16" s="248"/>
      <c r="X16" s="154"/>
      <c r="Y16" s="153"/>
      <c r="Z16" s="153"/>
      <c r="AA16" s="153"/>
      <c r="AB16" s="154"/>
      <c r="AC16" s="153"/>
      <c r="AD16" s="153"/>
      <c r="AE16" s="249"/>
      <c r="AF16" s="248"/>
      <c r="AG16" s="154"/>
      <c r="AH16" s="153"/>
      <c r="AI16" s="153"/>
      <c r="AJ16" s="250"/>
      <c r="AK16" s="146"/>
      <c r="AL16" s="153"/>
      <c r="AM16" s="153"/>
      <c r="AN16" s="250"/>
      <c r="AO16" s="146"/>
      <c r="AP16" s="153"/>
      <c r="AQ16" s="153"/>
      <c r="AR16" s="153"/>
      <c r="AS16" s="250"/>
      <c r="AT16" s="154"/>
      <c r="AU16" s="153"/>
      <c r="AV16" s="153"/>
      <c r="AW16" s="249"/>
      <c r="AX16" s="154"/>
      <c r="AY16" s="153"/>
      <c r="AZ16" s="72"/>
      <c r="BA16" s="136"/>
      <c r="BB16" s="72"/>
      <c r="BC16" s="153"/>
      <c r="BD16" s="153"/>
      <c r="BE16" s="153"/>
      <c r="BF16" s="249"/>
      <c r="BG16" s="154"/>
      <c r="BH16" s="153"/>
      <c r="BI16" s="347" t="s">
        <v>160</v>
      </c>
      <c r="BJ16" s="415" t="s">
        <v>73</v>
      </c>
      <c r="BK16" s="524" t="s">
        <v>152</v>
      </c>
      <c r="BL16" s="227" t="s">
        <v>216</v>
      </c>
      <c r="BM16" s="285" t="s">
        <v>577</v>
      </c>
      <c r="BN16" s="615" t="s">
        <v>153</v>
      </c>
      <c r="BO16" s="136"/>
      <c r="BP16" s="154"/>
      <c r="BQ16" s="153"/>
      <c r="BR16" s="153"/>
      <c r="BS16" s="250"/>
      <c r="BT16" s="154"/>
      <c r="BU16" s="153"/>
      <c r="BV16" s="153"/>
      <c r="BW16" s="249"/>
      <c r="BX16" s="146"/>
      <c r="BY16" s="153"/>
      <c r="BZ16" s="153"/>
      <c r="CA16" s="153"/>
      <c r="CB16" s="249"/>
      <c r="CC16" s="154"/>
      <c r="CD16" s="153"/>
      <c r="CE16" s="153"/>
      <c r="CF16" s="250"/>
      <c r="CG16" s="153"/>
      <c r="CH16" s="153"/>
      <c r="CI16" s="153"/>
      <c r="CJ16" s="249"/>
      <c r="CK16" s="146"/>
      <c r="CL16" s="153"/>
      <c r="CM16" s="153"/>
      <c r="CN16" s="153"/>
      <c r="CO16" s="250"/>
      <c r="CP16" s="154"/>
      <c r="CQ16" s="153"/>
      <c r="CR16" s="153"/>
      <c r="CS16" s="249"/>
      <c r="CT16" s="154"/>
      <c r="CU16" s="153"/>
      <c r="CV16" s="153"/>
      <c r="CW16" s="249"/>
      <c r="CX16" s="146"/>
      <c r="CY16" s="153"/>
      <c r="CZ16" s="153"/>
      <c r="DA16" s="153"/>
      <c r="DB16" s="250"/>
      <c r="DC16" s="154"/>
      <c r="DD16" s="153"/>
      <c r="DE16" s="153"/>
      <c r="DF16" s="249"/>
      <c r="DG16" s="154"/>
      <c r="DH16" s="153"/>
      <c r="DI16" s="153"/>
      <c r="DJ16" s="249"/>
      <c r="DK16" s="146"/>
      <c r="DL16" s="153"/>
      <c r="DM16" s="153"/>
      <c r="DN16" s="153"/>
      <c r="DO16" s="250"/>
      <c r="DP16" s="241" t="s">
        <v>576</v>
      </c>
    </row>
    <row r="17" spans="1:120" ht="12.75" hidden="1" customHeight="1" outlineLevel="1">
      <c r="A17" s="14"/>
      <c r="B17" s="396"/>
      <c r="C17" s="699"/>
      <c r="D17" s="707"/>
      <c r="E17" s="665"/>
      <c r="F17" s="225" t="s">
        <v>0</v>
      </c>
      <c r="G17" s="496"/>
      <c r="H17" s="485" t="s">
        <v>39</v>
      </c>
      <c r="I17" s="104">
        <v>477303.4</v>
      </c>
      <c r="J17" s="105"/>
      <c r="K17" s="106"/>
      <c r="L17" s="127">
        <v>4578710291</v>
      </c>
      <c r="M17" s="459"/>
      <c r="N17" s="459"/>
      <c r="O17" s="130"/>
      <c r="P17" s="89"/>
      <c r="Q17" s="147"/>
      <c r="R17" s="180"/>
      <c r="S17" s="191"/>
      <c r="T17" s="89"/>
      <c r="U17" s="202" t="s">
        <v>41</v>
      </c>
      <c r="V17" s="95" t="s">
        <v>44</v>
      </c>
      <c r="W17" s="191"/>
      <c r="X17" s="130"/>
      <c r="Y17" s="89"/>
      <c r="Z17" s="284" t="s">
        <v>54</v>
      </c>
      <c r="AA17" s="89"/>
      <c r="AB17" s="130"/>
      <c r="AC17" s="124" t="s">
        <v>54</v>
      </c>
      <c r="AD17" s="147"/>
      <c r="AE17" s="89"/>
      <c r="AF17" s="88"/>
      <c r="AG17" s="85"/>
      <c r="AH17" s="86"/>
      <c r="AI17" s="89"/>
      <c r="AJ17" s="88"/>
      <c r="AK17" s="85"/>
      <c r="AL17" s="86"/>
      <c r="AM17" s="89"/>
      <c r="AN17" s="180"/>
      <c r="AO17" s="130"/>
      <c r="AP17" s="89"/>
      <c r="AQ17" s="147"/>
      <c r="AR17" s="89"/>
      <c r="AS17" s="88"/>
      <c r="AT17" s="85"/>
      <c r="AU17" s="86"/>
      <c r="AV17" s="89"/>
      <c r="AW17" s="180"/>
      <c r="AX17" s="85"/>
      <c r="AY17" s="86"/>
      <c r="AZ17" s="89"/>
      <c r="BA17" s="88"/>
      <c r="BB17" s="80"/>
      <c r="BC17" s="89"/>
      <c r="BD17" s="147"/>
      <c r="BE17" s="89"/>
      <c r="BF17" s="180"/>
      <c r="BG17" s="163" t="s">
        <v>44</v>
      </c>
      <c r="BH17" s="86"/>
      <c r="BI17" s="89"/>
      <c r="BJ17" s="180"/>
      <c r="BK17" s="130"/>
      <c r="BL17" s="89"/>
      <c r="BM17" s="147"/>
      <c r="BN17" s="147"/>
      <c r="BO17" s="88"/>
      <c r="BP17" s="91" t="s">
        <v>44</v>
      </c>
      <c r="BQ17" s="86"/>
      <c r="BR17" s="89"/>
      <c r="BS17" s="88"/>
      <c r="BT17" s="91" t="s">
        <v>54</v>
      </c>
      <c r="BU17" s="86"/>
      <c r="BV17" s="89"/>
      <c r="BW17" s="180"/>
      <c r="BX17" s="130"/>
      <c r="BY17" s="89"/>
      <c r="BZ17" s="147"/>
      <c r="CA17" s="147"/>
      <c r="CB17" s="621"/>
      <c r="CC17" s="626" t="s">
        <v>54</v>
      </c>
      <c r="CD17" s="89"/>
      <c r="CE17" s="89"/>
      <c r="CF17" s="88"/>
      <c r="CG17" s="80" t="s">
        <v>45</v>
      </c>
      <c r="CH17" s="89" t="s">
        <v>55</v>
      </c>
      <c r="CI17" s="89"/>
      <c r="CJ17" s="180"/>
      <c r="CK17" s="130"/>
      <c r="CL17" s="89"/>
      <c r="CM17" s="147"/>
      <c r="CN17" s="147"/>
      <c r="CO17" s="88"/>
      <c r="CP17" s="85"/>
      <c r="CQ17" s="86"/>
      <c r="CR17" s="89"/>
      <c r="CS17" s="180"/>
      <c r="CT17" s="85"/>
      <c r="CU17" s="86"/>
      <c r="CV17" s="89"/>
      <c r="CW17" s="180"/>
      <c r="CX17" s="130"/>
      <c r="CY17" s="89"/>
      <c r="CZ17" s="147"/>
      <c r="DA17" s="147"/>
      <c r="DB17" s="88"/>
      <c r="DC17" s="85"/>
      <c r="DD17" s="86"/>
      <c r="DE17" s="89"/>
      <c r="DF17" s="180"/>
      <c r="DG17" s="85"/>
      <c r="DH17" s="86"/>
      <c r="DI17" s="89"/>
      <c r="DJ17" s="180"/>
      <c r="DK17" s="130"/>
      <c r="DL17" s="89"/>
      <c r="DM17" s="147"/>
      <c r="DN17" s="147"/>
      <c r="DO17" s="88"/>
      <c r="DP17" s="209" t="s">
        <v>550</v>
      </c>
    </row>
    <row r="18" spans="1:120" ht="12.75" hidden="1" customHeight="1" outlineLevel="1">
      <c r="A18" s="14"/>
      <c r="B18" s="396"/>
      <c r="C18" s="688" t="s">
        <v>291</v>
      </c>
      <c r="D18" s="689"/>
      <c r="E18" s="391"/>
      <c r="F18" s="42" t="s">
        <v>81</v>
      </c>
      <c r="G18" s="496"/>
      <c r="H18" s="486" t="s">
        <v>238</v>
      </c>
      <c r="I18" s="646">
        <v>43750</v>
      </c>
      <c r="J18" s="633"/>
      <c r="K18" s="670"/>
      <c r="L18" s="644"/>
      <c r="M18" s="443"/>
      <c r="N18" s="443"/>
      <c r="O18" s="71"/>
      <c r="P18" s="69"/>
      <c r="Q18" s="70"/>
      <c r="R18" s="70"/>
      <c r="S18" s="68"/>
      <c r="T18" s="71"/>
      <c r="U18" s="69"/>
      <c r="V18" s="70"/>
      <c r="W18" s="68"/>
      <c r="X18" s="71"/>
      <c r="Y18" s="69"/>
      <c r="Z18" s="70"/>
      <c r="AA18" s="70"/>
      <c r="AB18" s="71"/>
      <c r="AC18" s="69"/>
      <c r="AD18" s="70"/>
      <c r="AE18" s="70"/>
      <c r="AF18" s="68"/>
      <c r="AG18" s="71"/>
      <c r="AH18" s="69"/>
      <c r="AI18" s="70"/>
      <c r="AJ18" s="68"/>
      <c r="AK18" s="71"/>
      <c r="AL18" s="69"/>
      <c r="AM18" s="70"/>
      <c r="AN18" s="70"/>
      <c r="AO18" s="71"/>
      <c r="AP18" s="69"/>
      <c r="AQ18" s="70"/>
      <c r="AR18" s="70"/>
      <c r="AS18" s="68"/>
      <c r="AT18" s="71"/>
      <c r="AU18" s="69"/>
      <c r="AV18" s="70"/>
      <c r="AW18" s="66"/>
      <c r="AX18" s="71"/>
      <c r="AY18" s="69"/>
      <c r="AZ18" s="70"/>
      <c r="BA18" s="68"/>
      <c r="BB18" s="70"/>
      <c r="BC18" s="69"/>
      <c r="BD18" s="70"/>
      <c r="BE18" s="70"/>
      <c r="BF18" s="66"/>
      <c r="BG18" s="71"/>
      <c r="BH18" s="69"/>
      <c r="BI18" s="70"/>
      <c r="BJ18" s="66"/>
      <c r="BK18" s="71"/>
      <c r="BL18" s="69"/>
      <c r="BM18" s="70"/>
      <c r="BN18" s="70"/>
      <c r="BO18" s="68"/>
      <c r="BP18" s="71"/>
      <c r="BQ18" s="69"/>
      <c r="BR18" s="70"/>
      <c r="BS18" s="68"/>
      <c r="BT18" s="71"/>
      <c r="BU18" s="69"/>
      <c r="BV18" s="70"/>
      <c r="BW18" s="66"/>
      <c r="BX18" s="71"/>
      <c r="BY18" s="69"/>
      <c r="BZ18" s="70"/>
      <c r="CA18" s="70"/>
      <c r="CB18" s="66"/>
      <c r="CC18" s="71"/>
      <c r="CD18" s="69"/>
      <c r="CE18" s="70"/>
      <c r="CF18" s="68"/>
      <c r="CG18" s="70"/>
      <c r="CH18" s="69"/>
      <c r="CI18" s="70"/>
      <c r="CJ18" s="66"/>
      <c r="CK18" s="71"/>
      <c r="CL18" s="69"/>
      <c r="CM18" s="70"/>
      <c r="CN18" s="70"/>
      <c r="CO18" s="68"/>
      <c r="CP18" s="71"/>
      <c r="CQ18" s="69"/>
      <c r="CR18" s="70"/>
      <c r="CS18" s="66"/>
      <c r="CT18" s="71"/>
      <c r="CU18" s="69"/>
      <c r="CV18" s="70"/>
      <c r="CW18" s="66"/>
      <c r="CX18" s="71"/>
      <c r="CY18" s="69"/>
      <c r="CZ18" s="70"/>
      <c r="DA18" s="70"/>
      <c r="DB18" s="68"/>
      <c r="DC18" s="71"/>
      <c r="DD18" s="69"/>
      <c r="DE18" s="70"/>
      <c r="DF18" s="66"/>
      <c r="DG18" s="71"/>
      <c r="DH18" s="69"/>
      <c r="DI18" s="70"/>
      <c r="DJ18" s="66"/>
      <c r="DK18" s="71"/>
      <c r="DL18" s="69"/>
      <c r="DM18" s="70"/>
      <c r="DN18" s="70"/>
      <c r="DO18" s="68"/>
      <c r="DP18" s="112"/>
    </row>
    <row r="19" spans="1:120" ht="12.75" hidden="1" customHeight="1" outlineLevel="1">
      <c r="A19" s="14"/>
      <c r="B19" s="396"/>
      <c r="C19" s="699"/>
      <c r="D19" s="699"/>
      <c r="E19" s="406"/>
      <c r="F19" s="225" t="s">
        <v>7</v>
      </c>
      <c r="G19" s="496"/>
      <c r="H19" s="48" t="s">
        <v>237</v>
      </c>
      <c r="I19" s="705"/>
      <c r="J19" s="732"/>
      <c r="K19" s="735"/>
      <c r="L19" s="734"/>
      <c r="M19" s="465"/>
      <c r="N19" s="465"/>
      <c r="O19" s="111"/>
      <c r="P19" s="108"/>
      <c r="Q19" s="107"/>
      <c r="R19" s="107"/>
      <c r="S19" s="109"/>
      <c r="T19" s="111"/>
      <c r="U19" s="108"/>
      <c r="V19" s="107"/>
      <c r="W19" s="109"/>
      <c r="X19" s="163" t="s">
        <v>91</v>
      </c>
      <c r="Y19" s="108"/>
      <c r="Z19" s="107"/>
      <c r="AA19" s="107"/>
      <c r="AB19" s="111"/>
      <c r="AC19" s="108"/>
      <c r="AD19" s="107"/>
      <c r="AE19" s="107"/>
      <c r="AF19" s="109"/>
      <c r="AG19" s="111"/>
      <c r="AH19" s="108"/>
      <c r="AI19" s="107"/>
      <c r="AJ19" s="109"/>
      <c r="AK19" s="111"/>
      <c r="AL19" s="108"/>
      <c r="AM19" s="107"/>
      <c r="AN19" s="107"/>
      <c r="AO19" s="111"/>
      <c r="AP19" s="108"/>
      <c r="AQ19" s="107"/>
      <c r="AR19" s="107"/>
      <c r="AS19" s="109"/>
      <c r="AT19" s="111"/>
      <c r="AU19" s="108"/>
      <c r="AV19" s="107"/>
      <c r="AW19" s="182"/>
      <c r="AX19" s="111"/>
      <c r="AY19" s="108"/>
      <c r="AZ19" s="107"/>
      <c r="BA19" s="109"/>
      <c r="BB19" s="107"/>
      <c r="BC19" s="108"/>
      <c r="BD19" s="107"/>
      <c r="BE19" s="107"/>
      <c r="BF19" s="182"/>
      <c r="BG19" s="111"/>
      <c r="BH19" s="108"/>
      <c r="BI19" s="107"/>
      <c r="BJ19" s="182"/>
      <c r="BK19" s="111"/>
      <c r="BL19" s="108"/>
      <c r="BM19" s="107"/>
      <c r="BN19" s="107"/>
      <c r="BO19" s="109"/>
      <c r="BP19" s="111"/>
      <c r="BQ19" s="108"/>
      <c r="BR19" s="107"/>
      <c r="BS19" s="109"/>
      <c r="BT19" s="111"/>
      <c r="BU19" s="108"/>
      <c r="BV19" s="107"/>
      <c r="BW19" s="182"/>
      <c r="BX19" s="111"/>
      <c r="BY19" s="108"/>
      <c r="BZ19" s="107"/>
      <c r="CA19" s="107"/>
      <c r="CB19" s="182"/>
      <c r="CC19" s="111"/>
      <c r="CD19" s="108"/>
      <c r="CE19" s="107"/>
      <c r="CF19" s="109"/>
      <c r="CG19" s="107"/>
      <c r="CH19" s="108"/>
      <c r="CI19" s="107"/>
      <c r="CJ19" s="182"/>
      <c r="CK19" s="111"/>
      <c r="CL19" s="108"/>
      <c r="CM19" s="107"/>
      <c r="CN19" s="107"/>
      <c r="CO19" s="109"/>
      <c r="CP19" s="111"/>
      <c r="CQ19" s="108"/>
      <c r="CR19" s="107"/>
      <c r="CS19" s="182"/>
      <c r="CT19" s="111"/>
      <c r="CU19" s="108"/>
      <c r="CV19" s="107"/>
      <c r="CW19" s="182"/>
      <c r="CX19" s="111"/>
      <c r="CY19" s="108"/>
      <c r="CZ19" s="107"/>
      <c r="DA19" s="107"/>
      <c r="DB19" s="109"/>
      <c r="DC19" s="111"/>
      <c r="DD19" s="108"/>
      <c r="DE19" s="107"/>
      <c r="DF19" s="182"/>
      <c r="DG19" s="111"/>
      <c r="DH19" s="108"/>
      <c r="DI19" s="107"/>
      <c r="DJ19" s="182"/>
      <c r="DK19" s="111"/>
      <c r="DL19" s="108"/>
      <c r="DM19" s="107"/>
      <c r="DN19" s="107"/>
      <c r="DO19" s="109"/>
      <c r="DP19" s="110" t="s">
        <v>172</v>
      </c>
    </row>
    <row r="20" spans="1:120" ht="12.75" hidden="1" customHeight="1" outlineLevel="1">
      <c r="A20" s="14"/>
      <c r="B20" s="396"/>
      <c r="C20" s="700" t="s">
        <v>292</v>
      </c>
      <c r="D20" s="701"/>
      <c r="E20" s="416"/>
      <c r="F20" s="488" t="s">
        <v>81</v>
      </c>
      <c r="G20" s="496"/>
      <c r="H20" s="490" t="s">
        <v>238</v>
      </c>
      <c r="I20" s="708">
        <v>90000</v>
      </c>
      <c r="J20" s="733"/>
      <c r="K20" s="686"/>
      <c r="L20" s="648">
        <v>4578710291</v>
      </c>
      <c r="M20" s="477"/>
      <c r="N20" s="477"/>
      <c r="O20" s="121"/>
      <c r="P20" s="120"/>
      <c r="Q20" s="119"/>
      <c r="R20" s="119"/>
      <c r="S20" s="118"/>
      <c r="T20" s="121"/>
      <c r="U20" s="120"/>
      <c r="V20" s="119"/>
      <c r="W20" s="118"/>
      <c r="X20" s="121"/>
      <c r="Y20" s="120"/>
      <c r="Z20" s="119"/>
      <c r="AA20" s="119"/>
      <c r="AB20" s="121"/>
      <c r="AC20" s="120"/>
      <c r="AD20" s="119"/>
      <c r="AE20" s="119"/>
      <c r="AF20" s="118"/>
      <c r="AG20" s="121"/>
      <c r="AH20" s="120"/>
      <c r="AI20" s="119"/>
      <c r="AJ20" s="118"/>
      <c r="AK20" s="121"/>
      <c r="AL20" s="120"/>
      <c r="AM20" s="119"/>
      <c r="AN20" s="119"/>
      <c r="AO20" s="121"/>
      <c r="AP20" s="120"/>
      <c r="AQ20" s="119"/>
      <c r="AR20" s="119"/>
      <c r="AS20" s="118"/>
      <c r="AT20" s="121"/>
      <c r="AU20" s="120"/>
      <c r="AV20" s="119"/>
      <c r="AW20" s="181"/>
      <c r="AX20" s="121"/>
      <c r="AY20" s="120"/>
      <c r="AZ20" s="119"/>
      <c r="BA20" s="118"/>
      <c r="BB20" s="119"/>
      <c r="BC20" s="120"/>
      <c r="BD20" s="119"/>
      <c r="BE20" s="119"/>
      <c r="BF20" s="181"/>
      <c r="BG20" s="121"/>
      <c r="BH20" s="120"/>
      <c r="BI20" s="119"/>
      <c r="BJ20" s="181"/>
      <c r="BK20" s="121"/>
      <c r="BL20" s="120"/>
      <c r="BM20" s="119"/>
      <c r="BN20" s="119"/>
      <c r="BO20" s="118"/>
      <c r="BP20" s="121"/>
      <c r="BQ20" s="120"/>
      <c r="BR20" s="119"/>
      <c r="BS20" s="118"/>
      <c r="BT20" s="121"/>
      <c r="BU20" s="120"/>
      <c r="BV20" s="119"/>
      <c r="BW20" s="181"/>
      <c r="BX20" s="121"/>
      <c r="BY20" s="120"/>
      <c r="BZ20" s="119"/>
      <c r="CA20" s="119"/>
      <c r="CB20" s="181"/>
      <c r="CC20" s="121"/>
      <c r="CD20" s="120"/>
      <c r="CE20" s="119"/>
      <c r="CF20" s="118"/>
      <c r="CG20" s="119"/>
      <c r="CH20" s="120"/>
      <c r="CI20" s="119"/>
      <c r="CJ20" s="181"/>
      <c r="CK20" s="121"/>
      <c r="CL20" s="120"/>
      <c r="CM20" s="119"/>
      <c r="CN20" s="119"/>
      <c r="CO20" s="118"/>
      <c r="CP20" s="121"/>
      <c r="CQ20" s="120"/>
      <c r="CR20" s="119"/>
      <c r="CS20" s="181"/>
      <c r="CT20" s="121"/>
      <c r="CU20" s="120"/>
      <c r="CV20" s="119"/>
      <c r="CW20" s="181"/>
      <c r="CX20" s="121"/>
      <c r="CY20" s="120"/>
      <c r="CZ20" s="119"/>
      <c r="DA20" s="119"/>
      <c r="DB20" s="118"/>
      <c r="DC20" s="121"/>
      <c r="DD20" s="120"/>
      <c r="DE20" s="119"/>
      <c r="DF20" s="181"/>
      <c r="DG20" s="121"/>
      <c r="DH20" s="120"/>
      <c r="DI20" s="119"/>
      <c r="DJ20" s="181"/>
      <c r="DK20" s="121"/>
      <c r="DL20" s="120"/>
      <c r="DM20" s="119"/>
      <c r="DN20" s="119"/>
      <c r="DO20" s="118"/>
      <c r="DP20" s="114" t="s">
        <v>294</v>
      </c>
    </row>
    <row r="21" spans="1:120" ht="12.75" hidden="1" customHeight="1" outlineLevel="1">
      <c r="A21" s="14"/>
      <c r="B21" s="396"/>
      <c r="C21" s="699"/>
      <c r="D21" s="699"/>
      <c r="E21" s="406"/>
      <c r="F21" s="225" t="s">
        <v>0</v>
      </c>
      <c r="G21" s="496"/>
      <c r="H21" s="48" t="s">
        <v>237</v>
      </c>
      <c r="I21" s="705"/>
      <c r="J21" s="732"/>
      <c r="K21" s="735"/>
      <c r="L21" s="734"/>
      <c r="M21" s="465"/>
      <c r="N21" s="465"/>
      <c r="O21" s="111"/>
      <c r="P21" s="108"/>
      <c r="Q21" s="107"/>
      <c r="R21" s="107"/>
      <c r="S21" s="109"/>
      <c r="T21" s="111"/>
      <c r="U21" s="108"/>
      <c r="V21" s="107"/>
      <c r="W21" s="109"/>
      <c r="X21" s="163" t="s">
        <v>91</v>
      </c>
      <c r="Y21" s="108"/>
      <c r="Z21" s="107"/>
      <c r="AA21" s="107"/>
      <c r="AB21" s="111"/>
      <c r="AC21" s="108"/>
      <c r="AD21" s="107"/>
      <c r="AE21" s="182"/>
      <c r="AF21" s="222" t="s">
        <v>41</v>
      </c>
      <c r="AG21" s="335" t="s">
        <v>44</v>
      </c>
      <c r="AH21" s="108"/>
      <c r="AI21" s="182"/>
      <c r="AJ21" s="222" t="s">
        <v>44</v>
      </c>
      <c r="AK21" s="111"/>
      <c r="AL21" s="108"/>
      <c r="AM21" s="107"/>
      <c r="AN21" s="520" t="s">
        <v>54</v>
      </c>
      <c r="AO21" s="111"/>
      <c r="AP21" s="108"/>
      <c r="AQ21" s="107"/>
      <c r="AR21" s="95" t="s">
        <v>54</v>
      </c>
      <c r="AS21" s="109"/>
      <c r="AT21" s="111"/>
      <c r="AU21" s="108"/>
      <c r="AV21" s="107"/>
      <c r="AW21" s="182"/>
      <c r="AX21" s="111"/>
      <c r="AY21" s="108"/>
      <c r="AZ21" s="107"/>
      <c r="BA21" s="109"/>
      <c r="BB21" s="107"/>
      <c r="BC21" s="108"/>
      <c r="BD21" s="107"/>
      <c r="BE21" s="107"/>
      <c r="BF21" s="182"/>
      <c r="BG21" s="163" t="s">
        <v>44</v>
      </c>
      <c r="BH21" s="108"/>
      <c r="BI21" s="107"/>
      <c r="BJ21" s="182"/>
      <c r="BK21" s="111"/>
      <c r="BL21" s="108"/>
      <c r="BM21" s="107"/>
      <c r="BN21" s="107"/>
      <c r="BO21" s="109"/>
      <c r="BP21" s="91" t="s">
        <v>44</v>
      </c>
      <c r="BQ21" s="108"/>
      <c r="BR21" s="107"/>
      <c r="BS21" s="109"/>
      <c r="BT21" s="91" t="s">
        <v>54</v>
      </c>
      <c r="BU21" s="108"/>
      <c r="BV21" s="107"/>
      <c r="BW21" s="182"/>
      <c r="BX21" s="111"/>
      <c r="BY21" s="108"/>
      <c r="BZ21" s="107"/>
      <c r="CA21" s="107"/>
      <c r="CB21" s="182"/>
      <c r="CC21" s="626" t="s">
        <v>54</v>
      </c>
      <c r="CD21" s="107"/>
      <c r="CE21" s="107"/>
      <c r="CF21" s="109"/>
      <c r="CG21" s="333" t="s">
        <v>45</v>
      </c>
      <c r="CH21" s="107" t="s">
        <v>55</v>
      </c>
      <c r="CI21" s="107"/>
      <c r="CJ21" s="182"/>
      <c r="CK21" s="425"/>
      <c r="CL21" s="107"/>
      <c r="CM21" s="107"/>
      <c r="CN21" s="107"/>
      <c r="CO21" s="109"/>
      <c r="CP21" s="111"/>
      <c r="CQ21" s="108"/>
      <c r="CR21" s="107"/>
      <c r="CS21" s="182"/>
      <c r="CT21" s="111"/>
      <c r="CU21" s="108"/>
      <c r="CV21" s="107"/>
      <c r="CW21" s="182"/>
      <c r="CX21" s="425"/>
      <c r="CY21" s="107"/>
      <c r="CZ21" s="107"/>
      <c r="DA21" s="107"/>
      <c r="DB21" s="109"/>
      <c r="DC21" s="111"/>
      <c r="DD21" s="108"/>
      <c r="DE21" s="107"/>
      <c r="DF21" s="182"/>
      <c r="DG21" s="111"/>
      <c r="DH21" s="108"/>
      <c r="DI21" s="107"/>
      <c r="DJ21" s="182"/>
      <c r="DK21" s="425"/>
      <c r="DL21" s="107"/>
      <c r="DM21" s="107"/>
      <c r="DN21" s="107"/>
      <c r="DO21" s="109"/>
      <c r="DP21" s="110" t="s">
        <v>411</v>
      </c>
    </row>
    <row r="22" spans="1:120" ht="12.75" hidden="1" customHeight="1" outlineLevel="1">
      <c r="A22" s="14"/>
      <c r="B22" s="396"/>
      <c r="C22" s="688" t="s">
        <v>329</v>
      </c>
      <c r="D22" s="689"/>
      <c r="E22" s="391"/>
      <c r="F22" s="42" t="s">
        <v>81</v>
      </c>
      <c r="G22" s="496"/>
      <c r="H22" s="487" t="s">
        <v>238</v>
      </c>
      <c r="I22" s="646">
        <v>4869.2</v>
      </c>
      <c r="J22" s="633"/>
      <c r="K22" s="670"/>
      <c r="L22" s="644"/>
      <c r="M22" s="443"/>
      <c r="N22" s="443"/>
      <c r="O22" s="71"/>
      <c r="P22" s="69"/>
      <c r="Q22" s="70"/>
      <c r="R22" s="70"/>
      <c r="S22" s="68"/>
      <c r="T22" s="71"/>
      <c r="U22" s="69"/>
      <c r="V22" s="70"/>
      <c r="W22" s="68"/>
      <c r="X22" s="71"/>
      <c r="Y22" s="69"/>
      <c r="Z22" s="70"/>
      <c r="AA22" s="70"/>
      <c r="AB22" s="71"/>
      <c r="AC22" s="69"/>
      <c r="AD22" s="70"/>
      <c r="AE22" s="70"/>
      <c r="AF22" s="68"/>
      <c r="AG22" s="71" t="s">
        <v>349</v>
      </c>
      <c r="AH22" s="69"/>
      <c r="AI22" s="70"/>
      <c r="AJ22" s="68"/>
      <c r="AK22" s="71"/>
      <c r="AL22" s="69"/>
      <c r="AM22" s="70"/>
      <c r="AN22" s="70"/>
      <c r="AO22" s="71"/>
      <c r="AP22" s="69"/>
      <c r="AQ22" s="70"/>
      <c r="AR22" s="70"/>
      <c r="AS22" s="68"/>
      <c r="AT22" s="71"/>
      <c r="AU22" s="69"/>
      <c r="AV22" s="70"/>
      <c r="AW22" s="66"/>
      <c r="AX22" s="71"/>
      <c r="AY22" s="69"/>
      <c r="AZ22" s="70"/>
      <c r="BA22" s="68"/>
      <c r="BB22" s="70"/>
      <c r="BC22" s="69"/>
      <c r="BD22" s="70"/>
      <c r="BE22" s="70"/>
      <c r="BF22" s="66"/>
      <c r="BG22" s="71"/>
      <c r="BH22" s="69"/>
      <c r="BI22" s="70"/>
      <c r="BJ22" s="66"/>
      <c r="BK22" s="71"/>
      <c r="BL22" s="69"/>
      <c r="BM22" s="70"/>
      <c r="BN22" s="70"/>
      <c r="BO22" s="68"/>
      <c r="BP22" s="71"/>
      <c r="BQ22" s="69"/>
      <c r="BR22" s="70"/>
      <c r="BS22" s="68"/>
      <c r="BT22" s="71"/>
      <c r="BU22" s="69"/>
      <c r="BV22" s="70"/>
      <c r="BW22" s="66"/>
      <c r="BX22" s="71"/>
      <c r="BY22" s="69"/>
      <c r="BZ22" s="70"/>
      <c r="CA22" s="70"/>
      <c r="CB22" s="66"/>
      <c r="CC22" s="71"/>
      <c r="CD22" s="69"/>
      <c r="CE22" s="70"/>
      <c r="CF22" s="68"/>
      <c r="CG22" s="70"/>
      <c r="CH22" s="69"/>
      <c r="CI22" s="70"/>
      <c r="CJ22" s="66"/>
      <c r="CK22" s="71"/>
      <c r="CL22" s="69"/>
      <c r="CM22" s="70"/>
      <c r="CN22" s="70"/>
      <c r="CO22" s="68"/>
      <c r="CP22" s="71"/>
      <c r="CQ22" s="69"/>
      <c r="CR22" s="70"/>
      <c r="CS22" s="66"/>
      <c r="CT22" s="71"/>
      <c r="CU22" s="69"/>
      <c r="CV22" s="70"/>
      <c r="CW22" s="66"/>
      <c r="CX22" s="71"/>
      <c r="CY22" s="69"/>
      <c r="CZ22" s="70"/>
      <c r="DA22" s="70"/>
      <c r="DB22" s="68"/>
      <c r="DC22" s="71"/>
      <c r="DD22" s="69"/>
      <c r="DE22" s="70"/>
      <c r="DF22" s="66"/>
      <c r="DG22" s="71"/>
      <c r="DH22" s="69"/>
      <c r="DI22" s="70"/>
      <c r="DJ22" s="66"/>
      <c r="DK22" s="71"/>
      <c r="DL22" s="69"/>
      <c r="DM22" s="70"/>
      <c r="DN22" s="70"/>
      <c r="DO22" s="68"/>
      <c r="DP22" s="112"/>
    </row>
    <row r="23" spans="1:120" ht="12.75" hidden="1" customHeight="1" outlineLevel="1">
      <c r="A23" s="14"/>
      <c r="B23" s="396"/>
      <c r="C23" s="689"/>
      <c r="D23" s="689"/>
      <c r="E23" s="391"/>
      <c r="F23" s="511" t="s">
        <v>0</v>
      </c>
      <c r="G23" s="496"/>
      <c r="H23" s="329" t="s">
        <v>237</v>
      </c>
      <c r="I23" s="646"/>
      <c r="J23" s="633"/>
      <c r="K23" s="670"/>
      <c r="L23" s="644"/>
      <c r="M23" s="443"/>
      <c r="N23" s="443"/>
      <c r="O23" s="512"/>
      <c r="P23" s="514"/>
      <c r="Q23" s="513"/>
      <c r="R23" s="513"/>
      <c r="S23" s="516"/>
      <c r="T23" s="512"/>
      <c r="U23" s="514"/>
      <c r="V23" s="513"/>
      <c r="W23" s="516"/>
      <c r="X23" s="512"/>
      <c r="Y23" s="514"/>
      <c r="Z23" s="513"/>
      <c r="AA23" s="513"/>
      <c r="AB23" s="512"/>
      <c r="AC23" s="514"/>
      <c r="AD23" s="513"/>
      <c r="AE23" s="515"/>
      <c r="AF23" s="517" t="s">
        <v>91</v>
      </c>
      <c r="AG23" s="512" t="s">
        <v>88</v>
      </c>
      <c r="AH23" s="514"/>
      <c r="AI23" s="513"/>
      <c r="AJ23" s="516"/>
      <c r="AK23" s="512"/>
      <c r="AL23" s="514"/>
      <c r="AM23" s="513"/>
      <c r="AN23" s="513"/>
      <c r="AO23" s="512"/>
      <c r="AP23" s="514"/>
      <c r="AQ23" s="513"/>
      <c r="AR23" s="513"/>
      <c r="AS23" s="516"/>
      <c r="AT23" s="512"/>
      <c r="AU23" s="514"/>
      <c r="AV23" s="513"/>
      <c r="AW23" s="515"/>
      <c r="AX23" s="512"/>
      <c r="AY23" s="514"/>
      <c r="AZ23" s="513"/>
      <c r="BA23" s="516"/>
      <c r="BB23" s="513"/>
      <c r="BC23" s="514"/>
      <c r="BD23" s="513"/>
      <c r="BE23" s="513"/>
      <c r="BF23" s="515"/>
      <c r="BG23" s="512"/>
      <c r="BH23" s="514"/>
      <c r="BI23" s="513"/>
      <c r="BJ23" s="515"/>
      <c r="BK23" s="512"/>
      <c r="BL23" s="514"/>
      <c r="BM23" s="513"/>
      <c r="BN23" s="513"/>
      <c r="BO23" s="516"/>
      <c r="BP23" s="512"/>
      <c r="BQ23" s="514"/>
      <c r="BR23" s="513"/>
      <c r="BS23" s="516"/>
      <c r="BT23" s="512"/>
      <c r="BU23" s="514"/>
      <c r="BV23" s="513"/>
      <c r="BW23" s="515"/>
      <c r="BX23" s="512"/>
      <c r="BY23" s="514"/>
      <c r="BZ23" s="513"/>
      <c r="CA23" s="513"/>
      <c r="CB23" s="515"/>
      <c r="CC23" s="512"/>
      <c r="CD23" s="514"/>
      <c r="CE23" s="513"/>
      <c r="CF23" s="516"/>
      <c r="CG23" s="513"/>
      <c r="CH23" s="514"/>
      <c r="CI23" s="513"/>
      <c r="CJ23" s="515"/>
      <c r="CK23" s="512"/>
      <c r="CL23" s="514"/>
      <c r="CM23" s="513"/>
      <c r="CN23" s="513"/>
      <c r="CO23" s="516"/>
      <c r="CP23" s="512"/>
      <c r="CQ23" s="514"/>
      <c r="CR23" s="513"/>
      <c r="CS23" s="515"/>
      <c r="CT23" s="512"/>
      <c r="CU23" s="514"/>
      <c r="CV23" s="513"/>
      <c r="CW23" s="515"/>
      <c r="CX23" s="512"/>
      <c r="CY23" s="514"/>
      <c r="CZ23" s="513"/>
      <c r="DA23" s="513"/>
      <c r="DB23" s="516"/>
      <c r="DC23" s="512"/>
      <c r="DD23" s="514"/>
      <c r="DE23" s="513"/>
      <c r="DF23" s="515"/>
      <c r="DG23" s="512"/>
      <c r="DH23" s="514"/>
      <c r="DI23" s="513"/>
      <c r="DJ23" s="515"/>
      <c r="DK23" s="512"/>
      <c r="DL23" s="514"/>
      <c r="DM23" s="513"/>
      <c r="DN23" s="513"/>
      <c r="DO23" s="516"/>
      <c r="DP23" s="510"/>
    </row>
    <row r="24" spans="1:120" ht="12.75" hidden="1" customHeight="1" outlineLevel="1">
      <c r="A24" s="14"/>
      <c r="B24" s="396"/>
      <c r="C24" s="700" t="s">
        <v>400</v>
      </c>
      <c r="D24" s="701"/>
      <c r="E24" s="416"/>
      <c r="F24" s="488" t="s">
        <v>81</v>
      </c>
      <c r="G24" s="508"/>
      <c r="H24" s="490" t="s">
        <v>238</v>
      </c>
      <c r="I24" s="708">
        <v>6824.4</v>
      </c>
      <c r="J24" s="733"/>
      <c r="K24" s="686"/>
      <c r="L24" s="648">
        <v>4579073062</v>
      </c>
      <c r="M24" s="477"/>
      <c r="N24" s="477"/>
      <c r="O24" s="121"/>
      <c r="P24" s="120"/>
      <c r="Q24" s="119"/>
      <c r="R24" s="119"/>
      <c r="S24" s="118"/>
      <c r="T24" s="121"/>
      <c r="U24" s="120"/>
      <c r="V24" s="119"/>
      <c r="W24" s="118"/>
      <c r="X24" s="121"/>
      <c r="Y24" s="120"/>
      <c r="Z24" s="119"/>
      <c r="AA24" s="119"/>
      <c r="AB24" s="121"/>
      <c r="AC24" s="120"/>
      <c r="AD24" s="119"/>
      <c r="AE24" s="119"/>
      <c r="AF24" s="118"/>
      <c r="AG24" s="121"/>
      <c r="AH24" s="120"/>
      <c r="AI24" s="119"/>
      <c r="AJ24" s="118"/>
      <c r="AK24" s="121"/>
      <c r="AL24" s="120"/>
      <c r="AM24" s="119"/>
      <c r="AN24" s="119"/>
      <c r="AO24" s="121"/>
      <c r="AP24" s="120"/>
      <c r="AQ24" s="119"/>
      <c r="AR24" s="119"/>
      <c r="AS24" s="118"/>
      <c r="AT24" s="121"/>
      <c r="AU24" s="120"/>
      <c r="AV24" s="119"/>
      <c r="AW24" s="181"/>
      <c r="AX24" s="121"/>
      <c r="AY24" s="120"/>
      <c r="AZ24" s="119"/>
      <c r="BA24" s="118"/>
      <c r="BB24" s="119"/>
      <c r="BC24" s="120"/>
      <c r="BD24" s="119"/>
      <c r="BE24" s="119"/>
      <c r="BF24" s="181"/>
      <c r="BG24" s="121"/>
      <c r="BH24" s="120"/>
      <c r="BI24" s="119"/>
      <c r="BJ24" s="181"/>
      <c r="BK24" s="121"/>
      <c r="BL24" s="120"/>
      <c r="BM24" s="119"/>
      <c r="BN24" s="119"/>
      <c r="BO24" s="118"/>
      <c r="BP24" s="121"/>
      <c r="BQ24" s="120"/>
      <c r="BR24" s="119"/>
      <c r="BS24" s="118"/>
      <c r="BT24" s="121"/>
      <c r="BU24" s="120"/>
      <c r="BV24" s="119"/>
      <c r="BW24" s="181"/>
      <c r="BX24" s="121"/>
      <c r="BY24" s="120"/>
      <c r="BZ24" s="119"/>
      <c r="CA24" s="119"/>
      <c r="CB24" s="181"/>
      <c r="CC24" s="121"/>
      <c r="CD24" s="120"/>
      <c r="CE24" s="119"/>
      <c r="CF24" s="118"/>
      <c r="CG24" s="119"/>
      <c r="CH24" s="120"/>
      <c r="CI24" s="119"/>
      <c r="CJ24" s="181"/>
      <c r="CK24" s="121"/>
      <c r="CL24" s="120"/>
      <c r="CM24" s="119"/>
      <c r="CN24" s="119"/>
      <c r="CO24" s="118"/>
      <c r="CP24" s="121"/>
      <c r="CQ24" s="120"/>
      <c r="CR24" s="119"/>
      <c r="CS24" s="181"/>
      <c r="CT24" s="121"/>
      <c r="CU24" s="120"/>
      <c r="CV24" s="119"/>
      <c r="CW24" s="181"/>
      <c r="CX24" s="121"/>
      <c r="CY24" s="120"/>
      <c r="CZ24" s="119"/>
      <c r="DA24" s="119"/>
      <c r="DB24" s="118"/>
      <c r="DC24" s="121"/>
      <c r="DD24" s="120"/>
      <c r="DE24" s="119"/>
      <c r="DF24" s="181"/>
      <c r="DG24" s="121"/>
      <c r="DH24" s="120"/>
      <c r="DI24" s="119"/>
      <c r="DJ24" s="181"/>
      <c r="DK24" s="121"/>
      <c r="DL24" s="120"/>
      <c r="DM24" s="119"/>
      <c r="DN24" s="119"/>
      <c r="DO24" s="118"/>
      <c r="DP24" s="114"/>
    </row>
    <row r="25" spans="1:120" ht="12.75" hidden="1" customHeight="1" outlineLevel="1" thickBot="1">
      <c r="A25" s="14"/>
      <c r="B25" s="396"/>
      <c r="C25" s="690"/>
      <c r="D25" s="690"/>
      <c r="E25" s="392"/>
      <c r="F25" s="225" t="s">
        <v>0</v>
      </c>
      <c r="G25" s="497"/>
      <c r="H25" s="48" t="s">
        <v>237</v>
      </c>
      <c r="I25" s="647"/>
      <c r="J25" s="634"/>
      <c r="K25" s="671"/>
      <c r="L25" s="645"/>
      <c r="M25" s="444"/>
      <c r="N25" s="444"/>
      <c r="O25" s="98"/>
      <c r="P25" s="97"/>
      <c r="Q25" s="96"/>
      <c r="R25" s="96"/>
      <c r="S25" s="99"/>
      <c r="T25" s="98"/>
      <c r="U25" s="97"/>
      <c r="V25" s="96"/>
      <c r="W25" s="99"/>
      <c r="X25" s="98"/>
      <c r="Y25" s="97"/>
      <c r="Z25" s="96"/>
      <c r="AA25" s="96"/>
      <c r="AB25" s="98"/>
      <c r="AC25" s="97"/>
      <c r="AD25" s="96"/>
      <c r="AE25" s="175"/>
      <c r="AF25" s="99"/>
      <c r="AG25" s="98"/>
      <c r="AH25" s="97"/>
      <c r="AI25" s="96"/>
      <c r="AJ25" s="99"/>
      <c r="AK25" s="98"/>
      <c r="AL25" s="97"/>
      <c r="AM25" s="96"/>
      <c r="AN25" s="96"/>
      <c r="AO25" s="518" t="s">
        <v>91</v>
      </c>
      <c r="AP25" s="214" t="s">
        <v>41</v>
      </c>
      <c r="AQ25" s="96"/>
      <c r="AR25" s="96"/>
      <c r="AS25" s="99"/>
      <c r="AT25" s="98"/>
      <c r="AU25" s="97"/>
      <c r="AV25" s="96"/>
      <c r="AW25" s="175"/>
      <c r="AX25" s="98"/>
      <c r="AY25" s="97"/>
      <c r="AZ25" s="96"/>
      <c r="BA25" s="99"/>
      <c r="BB25" s="96"/>
      <c r="BC25" s="97"/>
      <c r="BD25" s="96"/>
      <c r="BE25" s="96"/>
      <c r="BF25" s="175"/>
      <c r="BG25" s="98"/>
      <c r="BH25" s="97"/>
      <c r="BI25" s="96"/>
      <c r="BJ25" s="175"/>
      <c r="BK25" s="98"/>
      <c r="BL25" s="97"/>
      <c r="BM25" s="96"/>
      <c r="BN25" s="96"/>
      <c r="BO25" s="99"/>
      <c r="BP25" s="98"/>
      <c r="BQ25" s="97"/>
      <c r="BR25" s="96"/>
      <c r="BS25" s="99"/>
      <c r="BT25" s="98"/>
      <c r="BU25" s="97"/>
      <c r="BV25" s="96"/>
      <c r="BW25" s="175"/>
      <c r="BX25" s="98"/>
      <c r="BY25" s="97"/>
      <c r="BZ25" s="96"/>
      <c r="CA25" s="96"/>
      <c r="CB25" s="175"/>
      <c r="CC25" s="98"/>
      <c r="CD25" s="97"/>
      <c r="CE25" s="96"/>
      <c r="CF25" s="99"/>
      <c r="CG25" s="96"/>
      <c r="CH25" s="97"/>
      <c r="CI25" s="96"/>
      <c r="CJ25" s="175"/>
      <c r="CK25" s="98"/>
      <c r="CL25" s="97"/>
      <c r="CM25" s="96"/>
      <c r="CN25" s="96"/>
      <c r="CO25" s="99"/>
      <c r="CP25" s="98"/>
      <c r="CQ25" s="97"/>
      <c r="CR25" s="96"/>
      <c r="CS25" s="175"/>
      <c r="CT25" s="98"/>
      <c r="CU25" s="97"/>
      <c r="CV25" s="96"/>
      <c r="CW25" s="175"/>
      <c r="CX25" s="98"/>
      <c r="CY25" s="97"/>
      <c r="CZ25" s="96"/>
      <c r="DA25" s="96"/>
      <c r="DB25" s="99"/>
      <c r="DC25" s="98"/>
      <c r="DD25" s="97"/>
      <c r="DE25" s="96"/>
      <c r="DF25" s="175"/>
      <c r="DG25" s="98"/>
      <c r="DH25" s="97"/>
      <c r="DI25" s="96"/>
      <c r="DJ25" s="175"/>
      <c r="DK25" s="98"/>
      <c r="DL25" s="97"/>
      <c r="DM25" s="96"/>
      <c r="DN25" s="96"/>
      <c r="DO25" s="99"/>
      <c r="DP25" s="110" t="s">
        <v>331</v>
      </c>
    </row>
    <row r="26" spans="1:120" ht="12.75" hidden="1" customHeight="1" outlineLevel="1">
      <c r="A26" s="14"/>
      <c r="B26" s="396"/>
      <c r="C26" s="674"/>
      <c r="D26" s="675"/>
      <c r="E26" s="630"/>
      <c r="F26" s="42" t="s">
        <v>365</v>
      </c>
      <c r="G26" s="649"/>
      <c r="H26" s="482" t="s">
        <v>31</v>
      </c>
      <c r="I26" s="635"/>
      <c r="J26" s="642"/>
      <c r="K26" s="632"/>
      <c r="L26" s="630"/>
      <c r="M26" s="629"/>
      <c r="N26" s="628"/>
      <c r="O26" s="34"/>
      <c r="P26" s="129"/>
      <c r="Q26" s="129"/>
      <c r="R26" s="129"/>
      <c r="S26" s="142"/>
      <c r="T26" s="35"/>
      <c r="U26" s="129"/>
      <c r="V26" s="35"/>
      <c r="W26" s="189"/>
      <c r="X26" s="134"/>
      <c r="Y26" s="35"/>
      <c r="Z26" s="35"/>
      <c r="AA26" s="37"/>
      <c r="AB26" s="34"/>
      <c r="AC26" s="129"/>
      <c r="AD26" s="129"/>
      <c r="AE26" s="129"/>
      <c r="AF26" s="142"/>
      <c r="AG26" s="35"/>
      <c r="AH26" s="129"/>
      <c r="AI26" s="503" t="s">
        <v>362</v>
      </c>
      <c r="AJ26" s="194" t="s">
        <v>363</v>
      </c>
      <c r="AK26" s="134"/>
      <c r="AL26" s="140" t="s">
        <v>375</v>
      </c>
      <c r="AM26" s="140" t="s">
        <v>381</v>
      </c>
      <c r="AN26" s="503" t="s">
        <v>384</v>
      </c>
      <c r="AO26" s="149" t="s">
        <v>409</v>
      </c>
      <c r="AP26" s="129"/>
      <c r="AQ26" s="129"/>
      <c r="AR26" s="129"/>
      <c r="AS26" s="158" t="s">
        <v>429</v>
      </c>
      <c r="AT26" s="34"/>
      <c r="AU26" s="203"/>
      <c r="AV26" s="157" t="s">
        <v>430</v>
      </c>
      <c r="AW26" s="535" t="s">
        <v>469</v>
      </c>
      <c r="AX26" s="34"/>
      <c r="AY26" s="129"/>
      <c r="AZ26" s="140" t="s">
        <v>485</v>
      </c>
      <c r="BA26" s="549" t="s">
        <v>428</v>
      </c>
      <c r="BB26" s="149" t="s">
        <v>491</v>
      </c>
      <c r="BC26" s="129"/>
      <c r="BD26" s="207" t="s">
        <v>436</v>
      </c>
      <c r="BE26" s="207" t="s">
        <v>436</v>
      </c>
      <c r="BF26" s="301"/>
      <c r="BG26" s="336" t="s">
        <v>493</v>
      </c>
      <c r="BH26" s="157" t="s">
        <v>493</v>
      </c>
      <c r="BI26" s="207" t="s">
        <v>546</v>
      </c>
      <c r="BJ26" s="166" t="s">
        <v>117</v>
      </c>
      <c r="BK26" s="267" t="s">
        <v>566</v>
      </c>
      <c r="BL26" s="157" t="s">
        <v>484</v>
      </c>
      <c r="BM26" s="157" t="s">
        <v>110</v>
      </c>
      <c r="BN26" s="129"/>
      <c r="BO26" s="156" t="s">
        <v>118</v>
      </c>
      <c r="BP26" s="134"/>
      <c r="BQ26" s="162"/>
      <c r="BR26" s="208" t="s">
        <v>361</v>
      </c>
      <c r="BS26" s="117" t="s">
        <v>544</v>
      </c>
      <c r="BT26" s="129"/>
      <c r="BU26" s="162"/>
      <c r="BV26" s="176"/>
      <c r="BW26" s="37"/>
      <c r="BX26" s="134"/>
      <c r="BY26" s="129"/>
      <c r="BZ26" s="129"/>
      <c r="CA26" s="203"/>
      <c r="CB26" s="261" t="s">
        <v>197</v>
      </c>
      <c r="CC26" s="134"/>
      <c r="CD26" s="162"/>
      <c r="CE26" s="176"/>
      <c r="CF26" s="37"/>
      <c r="CG26" s="129"/>
      <c r="CH26" s="162"/>
      <c r="CI26" s="176"/>
      <c r="CJ26" s="37"/>
      <c r="CK26" s="134"/>
      <c r="CL26" s="129"/>
      <c r="CM26" s="129"/>
      <c r="CN26" s="129"/>
      <c r="CO26" s="142"/>
      <c r="CP26" s="134"/>
      <c r="CQ26" s="162"/>
      <c r="CR26" s="176"/>
      <c r="CS26" s="37"/>
      <c r="CT26" s="134"/>
      <c r="CU26" s="162"/>
      <c r="CV26" s="176"/>
      <c r="CW26" s="37"/>
      <c r="CX26" s="134"/>
      <c r="CY26" s="129"/>
      <c r="CZ26" s="129"/>
      <c r="DA26" s="129"/>
      <c r="DB26" s="142"/>
      <c r="DC26" s="134"/>
      <c r="DD26" s="162"/>
      <c r="DE26" s="176"/>
      <c r="DF26" s="37"/>
      <c r="DG26" s="134"/>
      <c r="DH26" s="162"/>
      <c r="DI26" s="176"/>
      <c r="DJ26" s="37"/>
      <c r="DK26" s="134"/>
      <c r="DL26" s="129"/>
      <c r="DM26" s="129"/>
      <c r="DN26" s="129"/>
      <c r="DO26" s="142"/>
      <c r="DP26" s="730"/>
    </row>
    <row r="27" spans="1:120" ht="12.75" hidden="1" customHeight="1" outlineLevel="1" thickBot="1">
      <c r="A27" s="14"/>
      <c r="B27" s="396"/>
      <c r="C27" s="674"/>
      <c r="D27" s="675"/>
      <c r="E27" s="630"/>
      <c r="F27" s="45" t="s">
        <v>389</v>
      </c>
      <c r="G27" s="649"/>
      <c r="H27" s="483" t="s">
        <v>66</v>
      </c>
      <c r="I27" s="635"/>
      <c r="J27" s="642"/>
      <c r="K27" s="632"/>
      <c r="L27" s="630"/>
      <c r="M27" s="629"/>
      <c r="N27" s="628"/>
      <c r="O27" s="46"/>
      <c r="P27" s="47"/>
      <c r="Q27" s="47"/>
      <c r="R27" s="177"/>
      <c r="S27" s="190"/>
      <c r="T27" s="47"/>
      <c r="U27" s="47"/>
      <c r="V27" s="47"/>
      <c r="W27" s="190"/>
      <c r="X27" s="46"/>
      <c r="Y27" s="47"/>
      <c r="Z27" s="47"/>
      <c r="AA27" s="167"/>
      <c r="AB27" s="46"/>
      <c r="AC27" s="47"/>
      <c r="AD27" s="47"/>
      <c r="AE27" s="177"/>
      <c r="AF27" s="190"/>
      <c r="AG27" s="47"/>
      <c r="AH27" s="47"/>
      <c r="AI27" s="47"/>
      <c r="AJ27" s="190"/>
      <c r="AK27" s="46"/>
      <c r="AL27" s="32" t="s">
        <v>61</v>
      </c>
      <c r="AM27" s="220" t="s">
        <v>408</v>
      </c>
      <c r="AN27" s="150" t="s">
        <v>76</v>
      </c>
      <c r="AO27" s="135"/>
      <c r="AP27" s="47"/>
      <c r="AQ27" s="177"/>
      <c r="AR27" s="312"/>
      <c r="AS27" s="167"/>
      <c r="AT27" s="526" t="s">
        <v>427</v>
      </c>
      <c r="AU27" s="138"/>
      <c r="AV27" s="47"/>
      <c r="AW27" s="190"/>
      <c r="AX27" s="46"/>
      <c r="AY27" s="262" t="s">
        <v>73</v>
      </c>
      <c r="AZ27" s="138"/>
      <c r="BA27" s="48"/>
      <c r="BB27" s="46"/>
      <c r="BC27" s="290"/>
      <c r="BD27" s="320" t="s">
        <v>52</v>
      </c>
      <c r="BE27" s="139" t="s">
        <v>545</v>
      </c>
      <c r="BF27" s="201" t="s">
        <v>545</v>
      </c>
      <c r="BG27" s="125" t="s">
        <v>52</v>
      </c>
      <c r="BH27" s="138"/>
      <c r="BI27" s="47"/>
      <c r="BJ27" s="177"/>
      <c r="BK27" s="46"/>
      <c r="BL27" s="47"/>
      <c r="BM27" s="140" t="s">
        <v>119</v>
      </c>
      <c r="BN27" s="177"/>
      <c r="BO27" s="48"/>
      <c r="BP27" s="46"/>
      <c r="BQ27" s="138"/>
      <c r="BR27" s="47"/>
      <c r="BS27" s="48"/>
      <c r="BT27" s="46"/>
      <c r="BU27" s="138"/>
      <c r="BV27" s="47"/>
      <c r="BW27" s="48"/>
      <c r="BX27" s="46"/>
      <c r="BY27" s="47"/>
      <c r="BZ27" s="47"/>
      <c r="CA27" s="47"/>
      <c r="CB27" s="177"/>
      <c r="CC27" s="46"/>
      <c r="CD27" s="138"/>
      <c r="CE27" s="47"/>
      <c r="CF27" s="48"/>
      <c r="CG27" s="47"/>
      <c r="CH27" s="138"/>
      <c r="CI27" s="47"/>
      <c r="CJ27" s="48"/>
      <c r="CK27" s="46"/>
      <c r="CL27" s="47"/>
      <c r="CM27" s="47"/>
      <c r="CN27" s="177"/>
      <c r="CO27" s="48"/>
      <c r="CP27" s="46"/>
      <c r="CQ27" s="138"/>
      <c r="CR27" s="47"/>
      <c r="CS27" s="48"/>
      <c r="CT27" s="46"/>
      <c r="CU27" s="138"/>
      <c r="CV27" s="47"/>
      <c r="CW27" s="48"/>
      <c r="CX27" s="46"/>
      <c r="CY27" s="47"/>
      <c r="CZ27" s="47"/>
      <c r="DA27" s="177"/>
      <c r="DB27" s="48"/>
      <c r="DC27" s="46"/>
      <c r="DD27" s="138"/>
      <c r="DE27" s="47"/>
      <c r="DF27" s="48"/>
      <c r="DG27" s="46"/>
      <c r="DH27" s="138"/>
      <c r="DI27" s="47"/>
      <c r="DJ27" s="48"/>
      <c r="DK27" s="46"/>
      <c r="DL27" s="47"/>
      <c r="DM27" s="47"/>
      <c r="DN27" s="177"/>
      <c r="DO27" s="48"/>
      <c r="DP27" s="730"/>
    </row>
    <row r="28" spans="1:120" ht="12.75" hidden="1" customHeight="1" outlineLevel="1" thickBot="1">
      <c r="A28" s="14"/>
      <c r="B28" s="396"/>
      <c r="C28" s="674"/>
      <c r="D28" s="675"/>
      <c r="E28" s="630"/>
      <c r="F28" s="45"/>
      <c r="G28" s="498"/>
      <c r="H28" s="483" t="s">
        <v>534</v>
      </c>
      <c r="I28" s="635"/>
      <c r="J28" s="642"/>
      <c r="K28" s="632"/>
      <c r="L28" s="630"/>
      <c r="M28" s="629"/>
      <c r="N28" s="628"/>
      <c r="O28" s="327"/>
      <c r="P28" s="328"/>
      <c r="Q28" s="328"/>
      <c r="R28" s="330"/>
      <c r="S28" s="286"/>
      <c r="T28" s="328"/>
      <c r="U28" s="328"/>
      <c r="V28" s="330"/>
      <c r="W28" s="286"/>
      <c r="X28" s="327"/>
      <c r="Y28" s="328"/>
      <c r="Z28" s="328"/>
      <c r="AA28" s="358"/>
      <c r="AB28" s="327"/>
      <c r="AC28" s="328"/>
      <c r="AD28" s="328"/>
      <c r="AE28" s="330"/>
      <c r="AF28" s="286"/>
      <c r="AG28" s="328"/>
      <c r="AH28" s="328"/>
      <c r="AI28" s="330"/>
      <c r="AJ28" s="286"/>
      <c r="AK28" s="327"/>
      <c r="AL28" s="328"/>
      <c r="AM28" s="408"/>
      <c r="AN28" s="329"/>
      <c r="AO28" s="332"/>
      <c r="AP28" s="328"/>
      <c r="AQ28" s="330"/>
      <c r="AR28" s="331"/>
      <c r="AS28" s="358"/>
      <c r="AT28" s="327"/>
      <c r="AU28" s="331"/>
      <c r="AV28" s="328"/>
      <c r="AW28" s="330"/>
      <c r="AX28" s="523"/>
      <c r="AY28" s="330"/>
      <c r="AZ28" s="331"/>
      <c r="BA28" s="330"/>
      <c r="BB28" s="327"/>
      <c r="BC28" s="328"/>
      <c r="BD28" s="547"/>
      <c r="BE28" s="331"/>
      <c r="BF28" s="330"/>
      <c r="BG28" s="327"/>
      <c r="BH28" s="283" t="s">
        <v>536</v>
      </c>
      <c r="BI28" s="272" t="s">
        <v>64</v>
      </c>
      <c r="BJ28" s="330"/>
      <c r="BK28" s="327"/>
      <c r="BL28" s="331"/>
      <c r="BM28" s="328"/>
      <c r="BN28" s="328"/>
      <c r="BO28" s="329"/>
      <c r="BP28" s="327"/>
      <c r="BQ28" s="331"/>
      <c r="BR28" s="328"/>
      <c r="BS28" s="329"/>
      <c r="BT28" s="327"/>
      <c r="BU28" s="331"/>
      <c r="BV28" s="328"/>
      <c r="BW28" s="329"/>
      <c r="BX28" s="327"/>
      <c r="BY28" s="328"/>
      <c r="BZ28" s="328"/>
      <c r="CA28" s="328"/>
      <c r="CB28" s="330"/>
      <c r="CC28" s="327"/>
      <c r="CD28" s="331"/>
      <c r="CE28" s="328"/>
      <c r="CF28" s="329"/>
      <c r="CG28" s="328"/>
      <c r="CH28" s="331"/>
      <c r="CI28" s="328"/>
      <c r="CJ28" s="329"/>
      <c r="CK28" s="327"/>
      <c r="CL28" s="328"/>
      <c r="CM28" s="328"/>
      <c r="CN28" s="330"/>
      <c r="CO28" s="329"/>
      <c r="CP28" s="327"/>
      <c r="CQ28" s="331"/>
      <c r="CR28" s="328"/>
      <c r="CS28" s="329"/>
      <c r="CT28" s="327"/>
      <c r="CU28" s="331"/>
      <c r="CV28" s="328"/>
      <c r="CW28" s="329"/>
      <c r="CX28" s="327"/>
      <c r="CY28" s="328"/>
      <c r="CZ28" s="328"/>
      <c r="DA28" s="330"/>
      <c r="DB28" s="329"/>
      <c r="DC28" s="327"/>
      <c r="DD28" s="331"/>
      <c r="DE28" s="328"/>
      <c r="DF28" s="329"/>
      <c r="DG28" s="327"/>
      <c r="DH28" s="331"/>
      <c r="DI28" s="328"/>
      <c r="DJ28" s="329"/>
      <c r="DK28" s="327"/>
      <c r="DL28" s="328"/>
      <c r="DM28" s="328"/>
      <c r="DN28" s="330"/>
      <c r="DO28" s="329"/>
      <c r="DP28" s="730"/>
    </row>
    <row r="29" spans="1:120" ht="12.75" hidden="1" customHeight="1" outlineLevel="1">
      <c r="A29" s="14"/>
      <c r="B29" s="396"/>
      <c r="C29" s="674"/>
      <c r="D29" s="675"/>
      <c r="E29" s="630"/>
      <c r="F29" s="225" t="s">
        <v>0</v>
      </c>
      <c r="G29" s="649" t="e">
        <f>#REF!</f>
        <v>#REF!</v>
      </c>
      <c r="H29" s="484" t="s">
        <v>129</v>
      </c>
      <c r="I29" s="635"/>
      <c r="J29" s="642"/>
      <c r="K29" s="632"/>
      <c r="L29" s="630"/>
      <c r="M29" s="629"/>
      <c r="N29" s="628"/>
      <c r="O29" s="218"/>
      <c r="P29" s="242"/>
      <c r="Q29" s="242"/>
      <c r="R29" s="242"/>
      <c r="S29" s="244"/>
      <c r="T29" s="242"/>
      <c r="U29" s="242"/>
      <c r="V29" s="245"/>
      <c r="W29" s="244"/>
      <c r="X29" s="218"/>
      <c r="Y29" s="242"/>
      <c r="Z29" s="242"/>
      <c r="AA29" s="246"/>
      <c r="AB29" s="218"/>
      <c r="AC29" s="242"/>
      <c r="AD29" s="242"/>
      <c r="AE29" s="242"/>
      <c r="AF29" s="244"/>
      <c r="AG29" s="242"/>
      <c r="AH29" s="242"/>
      <c r="AI29" s="245"/>
      <c r="AJ29" s="291" t="s">
        <v>27</v>
      </c>
      <c r="AK29" s="218"/>
      <c r="AL29" s="273" t="s">
        <v>26</v>
      </c>
      <c r="AM29" s="242"/>
      <c r="AN29" s="246"/>
      <c r="AO29" s="218"/>
      <c r="AP29" s="242"/>
      <c r="AQ29" s="242"/>
      <c r="AR29" s="242"/>
      <c r="AS29" s="244"/>
      <c r="AT29" s="218"/>
      <c r="AU29" s="242"/>
      <c r="AV29" s="242"/>
      <c r="AW29" s="245"/>
      <c r="AX29" s="502"/>
      <c r="AY29" s="352" t="s">
        <v>477</v>
      </c>
      <c r="AZ29" s="242"/>
      <c r="BA29" s="210" t="s">
        <v>494</v>
      </c>
      <c r="BB29" s="323"/>
      <c r="BC29" s="282" t="s">
        <v>516</v>
      </c>
      <c r="BD29" s="282" t="s">
        <v>528</v>
      </c>
      <c r="BE29" s="251"/>
      <c r="BF29" s="316" t="s">
        <v>25</v>
      </c>
      <c r="BG29" s="219" t="s">
        <v>24</v>
      </c>
      <c r="BH29" s="242"/>
      <c r="BI29" s="259" t="s">
        <v>24</v>
      </c>
      <c r="BJ29" s="316" t="s">
        <v>24</v>
      </c>
      <c r="BK29" s="601" t="s">
        <v>101</v>
      </c>
      <c r="BL29" s="298" t="s">
        <v>101</v>
      </c>
      <c r="BM29" s="242"/>
      <c r="BN29" s="245"/>
      <c r="BO29" s="373"/>
      <c r="BP29" s="218"/>
      <c r="BQ29" s="242"/>
      <c r="BR29" s="242"/>
      <c r="BS29" s="246"/>
      <c r="BT29" s="218"/>
      <c r="BU29" s="242"/>
      <c r="BV29" s="242"/>
      <c r="BW29" s="246"/>
      <c r="BX29" s="218"/>
      <c r="BY29" s="242"/>
      <c r="BZ29" s="242"/>
      <c r="CA29" s="242"/>
      <c r="CB29" s="245"/>
      <c r="CC29" s="218"/>
      <c r="CD29" s="242"/>
      <c r="CE29" s="242"/>
      <c r="CF29" s="246"/>
      <c r="CG29" s="242"/>
      <c r="CH29" s="242"/>
      <c r="CI29" s="242"/>
      <c r="CJ29" s="246"/>
      <c r="CK29" s="218"/>
      <c r="CL29" s="242"/>
      <c r="CM29" s="242"/>
      <c r="CN29" s="245"/>
      <c r="CO29" s="373"/>
      <c r="CP29" s="218"/>
      <c r="CQ29" s="242"/>
      <c r="CR29" s="242"/>
      <c r="CS29" s="246"/>
      <c r="CT29" s="218"/>
      <c r="CU29" s="242"/>
      <c r="CV29" s="242"/>
      <c r="CW29" s="246"/>
      <c r="CX29" s="218"/>
      <c r="CY29" s="242"/>
      <c r="CZ29" s="242"/>
      <c r="DA29" s="245"/>
      <c r="DB29" s="373"/>
      <c r="DC29" s="218"/>
      <c r="DD29" s="242"/>
      <c r="DE29" s="242"/>
      <c r="DF29" s="246"/>
      <c r="DG29" s="218"/>
      <c r="DH29" s="242"/>
      <c r="DI29" s="242"/>
      <c r="DJ29" s="246"/>
      <c r="DK29" s="218"/>
      <c r="DL29" s="242"/>
      <c r="DM29" s="242"/>
      <c r="DN29" s="245"/>
      <c r="DO29" s="373"/>
      <c r="DP29" s="730"/>
    </row>
    <row r="30" spans="1:120" ht="12.75" hidden="1" customHeight="1" outlineLevel="1">
      <c r="A30" s="14"/>
      <c r="B30" s="396"/>
      <c r="C30" s="674"/>
      <c r="D30" s="675"/>
      <c r="E30" s="630"/>
      <c r="F30" s="225" t="s">
        <v>15</v>
      </c>
      <c r="G30" s="649"/>
      <c r="H30" s="484" t="s">
        <v>130</v>
      </c>
      <c r="I30" s="635"/>
      <c r="J30" s="642"/>
      <c r="K30" s="632"/>
      <c r="L30" s="630"/>
      <c r="M30" s="629"/>
      <c r="N30" s="628"/>
      <c r="O30" s="278"/>
      <c r="P30" s="279"/>
      <c r="Q30" s="279"/>
      <c r="R30" s="64"/>
      <c r="S30" s="243"/>
      <c r="T30" s="146"/>
      <c r="U30" s="72"/>
      <c r="V30" s="338"/>
      <c r="W30" s="277"/>
      <c r="X30" s="278"/>
      <c r="Y30" s="279"/>
      <c r="Z30" s="338"/>
      <c r="AA30" s="277"/>
      <c r="AB30" s="278"/>
      <c r="AC30" s="279"/>
      <c r="AD30" s="279"/>
      <c r="AE30" s="64"/>
      <c r="AF30" s="243"/>
      <c r="AG30" s="146"/>
      <c r="AH30" s="72"/>
      <c r="AI30" s="338"/>
      <c r="AJ30" s="277"/>
      <c r="AK30" s="397" t="s">
        <v>121</v>
      </c>
      <c r="AL30" s="279"/>
      <c r="AM30" s="346" t="s">
        <v>38</v>
      </c>
      <c r="AN30" s="277"/>
      <c r="AO30" s="278"/>
      <c r="AP30" s="279"/>
      <c r="AQ30" s="279"/>
      <c r="AR30" s="519" t="s">
        <v>162</v>
      </c>
      <c r="AS30" s="277"/>
      <c r="AT30" s="278"/>
      <c r="AU30" s="279"/>
      <c r="AV30" s="519" t="s">
        <v>162</v>
      </c>
      <c r="AW30" s="322"/>
      <c r="AX30" s="278"/>
      <c r="AY30" s="279"/>
      <c r="AZ30" s="519" t="s">
        <v>171</v>
      </c>
      <c r="BA30" s="277"/>
      <c r="BB30" s="278"/>
      <c r="BC30" s="279"/>
      <c r="BD30" s="279"/>
      <c r="BE30" s="568" t="s">
        <v>171</v>
      </c>
      <c r="BF30" s="322"/>
      <c r="BG30" s="146"/>
      <c r="BH30" s="72"/>
      <c r="BI30" s="568" t="s">
        <v>171</v>
      </c>
      <c r="BJ30" s="322"/>
      <c r="BK30" s="278"/>
      <c r="BL30" s="72"/>
      <c r="BM30" s="72"/>
      <c r="BN30" s="568" t="s">
        <v>171</v>
      </c>
      <c r="BO30" s="374"/>
      <c r="BP30" s="146"/>
      <c r="BQ30" s="72"/>
      <c r="BR30" s="338"/>
      <c r="BS30" s="277"/>
      <c r="BT30" s="146"/>
      <c r="BU30" s="72"/>
      <c r="BV30" s="338"/>
      <c r="BW30" s="277"/>
      <c r="BX30" s="278"/>
      <c r="BY30" s="72"/>
      <c r="BZ30" s="338"/>
      <c r="CA30" s="72"/>
      <c r="CB30" s="247"/>
      <c r="CC30" s="146"/>
      <c r="CD30" s="72"/>
      <c r="CE30" s="338"/>
      <c r="CF30" s="277"/>
      <c r="CG30" s="72"/>
      <c r="CH30" s="72"/>
      <c r="CI30" s="338"/>
      <c r="CJ30" s="277"/>
      <c r="CK30" s="278"/>
      <c r="CL30" s="72"/>
      <c r="CM30" s="338"/>
      <c r="CN30" s="247"/>
      <c r="CO30" s="374"/>
      <c r="CP30" s="146"/>
      <c r="CQ30" s="72"/>
      <c r="CR30" s="338"/>
      <c r="CS30" s="277"/>
      <c r="CT30" s="146"/>
      <c r="CU30" s="72"/>
      <c r="CV30" s="338"/>
      <c r="CW30" s="277"/>
      <c r="CX30" s="278"/>
      <c r="CY30" s="72"/>
      <c r="CZ30" s="338"/>
      <c r="DA30" s="247"/>
      <c r="DB30" s="374"/>
      <c r="DC30" s="146"/>
      <c r="DD30" s="72"/>
      <c r="DE30" s="338"/>
      <c r="DF30" s="277"/>
      <c r="DG30" s="146"/>
      <c r="DH30" s="72"/>
      <c r="DI30" s="338"/>
      <c r="DJ30" s="277"/>
      <c r="DK30" s="278"/>
      <c r="DL30" s="72"/>
      <c r="DM30" s="338"/>
      <c r="DN30" s="247"/>
      <c r="DO30" s="374"/>
      <c r="DP30" s="731"/>
    </row>
    <row r="31" spans="1:120" ht="12.75" hidden="1" customHeight="1" outlineLevel="1" thickBot="1">
      <c r="A31" s="14"/>
      <c r="B31" s="396"/>
      <c r="C31" s="674"/>
      <c r="D31" s="675"/>
      <c r="E31" s="630"/>
      <c r="F31" s="225" t="s">
        <v>15</v>
      </c>
      <c r="G31" s="496"/>
      <c r="H31" s="484" t="s">
        <v>157</v>
      </c>
      <c r="I31" s="635"/>
      <c r="J31" s="642"/>
      <c r="K31" s="632"/>
      <c r="L31" s="630"/>
      <c r="M31" s="629"/>
      <c r="N31" s="628"/>
      <c r="O31" s="154"/>
      <c r="P31" s="153"/>
      <c r="Q31" s="153"/>
      <c r="R31" s="200"/>
      <c r="S31" s="248"/>
      <c r="T31" s="153"/>
      <c r="U31" s="153"/>
      <c r="V31" s="249"/>
      <c r="W31" s="248"/>
      <c r="X31" s="154"/>
      <c r="Y31" s="153"/>
      <c r="Z31" s="153"/>
      <c r="AA31" s="153"/>
      <c r="AB31" s="154"/>
      <c r="AC31" s="153"/>
      <c r="AD31" s="153"/>
      <c r="AE31" s="200"/>
      <c r="AF31" s="248"/>
      <c r="AG31" s="153"/>
      <c r="AH31" s="153"/>
      <c r="AI31" s="249"/>
      <c r="AJ31" s="248"/>
      <c r="AK31" s="154"/>
      <c r="AL31" s="153"/>
      <c r="AM31" s="153"/>
      <c r="AN31" s="153"/>
      <c r="AO31" s="154"/>
      <c r="AP31" s="153"/>
      <c r="AQ31" s="153"/>
      <c r="AR31" s="249"/>
      <c r="AS31" s="248"/>
      <c r="AT31" s="154"/>
      <c r="AU31" s="153"/>
      <c r="AV31" s="153"/>
      <c r="AW31" s="249"/>
      <c r="AX31" s="146"/>
      <c r="AY31" s="153"/>
      <c r="AZ31" s="153"/>
      <c r="BA31" s="250"/>
      <c r="BB31" s="146"/>
      <c r="BC31" s="153"/>
      <c r="BD31" s="153"/>
      <c r="BE31" s="153"/>
      <c r="BF31" s="249"/>
      <c r="BG31" s="154"/>
      <c r="BH31" s="153"/>
      <c r="BI31" s="153"/>
      <c r="BJ31" s="249"/>
      <c r="BK31" s="146"/>
      <c r="BL31" s="153"/>
      <c r="BM31" s="252" t="s">
        <v>160</v>
      </c>
      <c r="BN31" s="252" t="s">
        <v>152</v>
      </c>
      <c r="BO31" s="250"/>
      <c r="BP31" s="224" t="s">
        <v>153</v>
      </c>
      <c r="BQ31" s="153"/>
      <c r="BR31" s="153"/>
      <c r="BS31" s="250"/>
      <c r="BT31" s="154"/>
      <c r="BU31" s="153"/>
      <c r="BV31" s="153"/>
      <c r="BW31" s="250"/>
      <c r="BX31" s="146"/>
      <c r="BY31" s="153"/>
      <c r="BZ31" s="72"/>
      <c r="CA31" s="72"/>
      <c r="CB31" s="249"/>
      <c r="CC31" s="154"/>
      <c r="CD31" s="153"/>
      <c r="CE31" s="153"/>
      <c r="CF31" s="250"/>
      <c r="CG31" s="153"/>
      <c r="CH31" s="153"/>
      <c r="CI31" s="153"/>
      <c r="CJ31" s="250"/>
      <c r="CK31" s="146"/>
      <c r="CL31" s="153"/>
      <c r="CM31" s="72"/>
      <c r="CN31" s="247"/>
      <c r="CO31" s="250"/>
      <c r="CP31" s="154"/>
      <c r="CQ31" s="153"/>
      <c r="CR31" s="153"/>
      <c r="CS31" s="250"/>
      <c r="CT31" s="154"/>
      <c r="CU31" s="153"/>
      <c r="CV31" s="153"/>
      <c r="CW31" s="250"/>
      <c r="CX31" s="146"/>
      <c r="CY31" s="153"/>
      <c r="CZ31" s="72"/>
      <c r="DA31" s="247"/>
      <c r="DB31" s="250"/>
      <c r="DC31" s="154"/>
      <c r="DD31" s="153"/>
      <c r="DE31" s="153"/>
      <c r="DF31" s="250"/>
      <c r="DG31" s="154"/>
      <c r="DH31" s="153"/>
      <c r="DI31" s="153"/>
      <c r="DJ31" s="250"/>
      <c r="DK31" s="146"/>
      <c r="DL31" s="153"/>
      <c r="DM31" s="72"/>
      <c r="DN31" s="247"/>
      <c r="DO31" s="250"/>
      <c r="DP31" s="241" t="s">
        <v>585</v>
      </c>
    </row>
    <row r="32" spans="1:120" ht="12.75" hidden="1" customHeight="1" outlineLevel="1" thickBot="1">
      <c r="A32" s="14"/>
      <c r="B32" s="396"/>
      <c r="C32" s="703"/>
      <c r="D32" s="704"/>
      <c r="E32" s="687"/>
      <c r="F32" s="359" t="s">
        <v>0</v>
      </c>
      <c r="G32" s="497"/>
      <c r="H32" s="489" t="s">
        <v>39</v>
      </c>
      <c r="I32" s="101"/>
      <c r="J32" s="102"/>
      <c r="K32" s="103"/>
      <c r="L32" s="128"/>
      <c r="M32" s="439"/>
      <c r="N32" s="439"/>
      <c r="O32" s="84"/>
      <c r="P32" s="39"/>
      <c r="Q32" s="407"/>
      <c r="R32" s="184"/>
      <c r="S32" s="193"/>
      <c r="T32" s="39"/>
      <c r="U32" s="468"/>
      <c r="V32" s="184"/>
      <c r="W32" s="193"/>
      <c r="X32" s="84"/>
      <c r="Y32" s="39"/>
      <c r="Z32" s="40"/>
      <c r="AA32" s="39"/>
      <c r="AB32" s="84"/>
      <c r="AC32" s="39"/>
      <c r="AD32" s="407"/>
      <c r="AE32" s="184"/>
      <c r="AF32" s="193"/>
      <c r="AG32" s="39"/>
      <c r="AH32" s="468"/>
      <c r="AI32" s="184"/>
      <c r="AJ32" s="538" t="s">
        <v>41</v>
      </c>
      <c r="AK32" s="84"/>
      <c r="AL32" s="39"/>
      <c r="AM32" s="40"/>
      <c r="AN32" s="39"/>
      <c r="AO32" s="84"/>
      <c r="AP32" s="39"/>
      <c r="AQ32" s="407"/>
      <c r="AR32" s="39"/>
      <c r="AS32" s="41"/>
      <c r="AT32" s="38"/>
      <c r="AU32" s="40"/>
      <c r="AV32" s="39"/>
      <c r="AW32" s="184"/>
      <c r="AX32" s="38"/>
      <c r="AY32" s="40"/>
      <c r="AZ32" s="39"/>
      <c r="BA32" s="41"/>
      <c r="BB32" s="84"/>
      <c r="BC32" s="39"/>
      <c r="BD32" s="564"/>
      <c r="BE32" s="39"/>
      <c r="BF32" s="184"/>
      <c r="BG32" s="38"/>
      <c r="BH32" s="40"/>
      <c r="BI32" s="39"/>
      <c r="BJ32" s="184"/>
      <c r="BK32" s="84"/>
      <c r="BL32" s="39"/>
      <c r="BM32" s="407"/>
      <c r="BN32" s="407"/>
      <c r="BO32" s="41"/>
      <c r="BP32" s="38"/>
      <c r="BQ32" s="40"/>
      <c r="BR32" s="39"/>
      <c r="BS32" s="595" t="s">
        <v>41</v>
      </c>
      <c r="BT32" s="38"/>
      <c r="BU32" s="40"/>
      <c r="BV32" s="39"/>
      <c r="BW32" s="41"/>
      <c r="BX32" s="84"/>
      <c r="BY32" s="39"/>
      <c r="BZ32" s="407"/>
      <c r="CA32" s="407"/>
      <c r="CB32" s="620"/>
      <c r="CC32" s="38"/>
      <c r="CD32" s="40"/>
      <c r="CE32" s="39"/>
      <c r="CF32" s="41"/>
      <c r="CG32" s="39"/>
      <c r="CH32" s="40"/>
      <c r="CI32" s="39"/>
      <c r="CJ32" s="41"/>
      <c r="CK32" s="84"/>
      <c r="CL32" s="39"/>
      <c r="CM32" s="407"/>
      <c r="CN32" s="407"/>
      <c r="CO32" s="41"/>
      <c r="CP32" s="38"/>
      <c r="CQ32" s="40"/>
      <c r="CR32" s="39"/>
      <c r="CS32" s="41"/>
      <c r="CT32" s="38"/>
      <c r="CU32" s="40"/>
      <c r="CV32" s="39"/>
      <c r="CW32" s="41"/>
      <c r="CX32" s="84"/>
      <c r="CY32" s="39"/>
      <c r="CZ32" s="407"/>
      <c r="DA32" s="407"/>
      <c r="DB32" s="41"/>
      <c r="DC32" s="38"/>
      <c r="DD32" s="40"/>
      <c r="DE32" s="39"/>
      <c r="DF32" s="41"/>
      <c r="DG32" s="38"/>
      <c r="DH32" s="40"/>
      <c r="DI32" s="39"/>
      <c r="DJ32" s="41"/>
      <c r="DK32" s="84"/>
      <c r="DL32" s="39"/>
      <c r="DM32" s="407"/>
      <c r="DN32" s="407"/>
      <c r="DO32" s="41"/>
      <c r="DP32" s="423" t="s">
        <v>158</v>
      </c>
    </row>
    <row r="33" spans="1:120" ht="12.75" customHeight="1" thickBot="1">
      <c r="A33" s="14"/>
      <c r="B33" s="396"/>
      <c r="C33" s="76"/>
      <c r="D33" s="82"/>
      <c r="E33" s="1"/>
      <c r="F33" s="82"/>
      <c r="G33" s="82"/>
      <c r="H33" s="79"/>
      <c r="I33" s="82"/>
      <c r="J33" s="82"/>
      <c r="K33" s="82"/>
      <c r="L33" s="82"/>
      <c r="M33" s="460"/>
      <c r="N33" s="460"/>
      <c r="O33" s="67"/>
      <c r="P33" s="66"/>
      <c r="Q33" s="66"/>
      <c r="R33" s="66"/>
      <c r="S33" s="68"/>
      <c r="T33" s="66"/>
      <c r="U33" s="66"/>
      <c r="V33" s="66"/>
      <c r="W33" s="68"/>
      <c r="X33" s="67"/>
      <c r="Y33" s="66"/>
      <c r="Z33" s="66"/>
      <c r="AA33" s="66"/>
      <c r="AB33" s="67"/>
      <c r="AC33" s="66"/>
      <c r="AD33" s="66"/>
      <c r="AE33" s="66"/>
      <c r="AF33" s="66"/>
      <c r="AG33" s="66"/>
      <c r="AH33" s="66"/>
      <c r="AI33" s="66"/>
      <c r="AJ33" s="66"/>
      <c r="AK33" s="67"/>
      <c r="AL33" s="66"/>
      <c r="AM33" s="66"/>
      <c r="AN33" s="68"/>
      <c r="AO33" s="67"/>
      <c r="AP33" s="66"/>
      <c r="AQ33" s="66"/>
      <c r="AR33" s="66"/>
      <c r="AS33" s="66"/>
      <c r="AT33" s="67"/>
      <c r="AU33" s="66"/>
      <c r="AV33" s="66"/>
      <c r="AW33" s="66"/>
      <c r="AX33" s="67"/>
      <c r="AY33" s="66"/>
      <c r="AZ33" s="66"/>
      <c r="BA33" s="66"/>
      <c r="BB33" s="67"/>
      <c r="BC33" s="66"/>
      <c r="BD33" s="66"/>
      <c r="BE33" s="66"/>
      <c r="BF33" s="66"/>
      <c r="BG33" s="67"/>
      <c r="BH33" s="66"/>
      <c r="BI33" s="66"/>
      <c r="BJ33" s="68"/>
      <c r="BK33" s="66"/>
      <c r="BL33" s="66"/>
      <c r="BM33" s="66"/>
      <c r="BN33" s="66"/>
      <c r="BO33" s="66"/>
      <c r="BP33" s="66"/>
      <c r="BQ33" s="66"/>
      <c r="BR33" s="66"/>
      <c r="BS33" s="66"/>
      <c r="BT33" s="67"/>
      <c r="BU33" s="66"/>
      <c r="BV33" s="66"/>
      <c r="BW33" s="66"/>
      <c r="BX33" s="67"/>
      <c r="BY33" s="66"/>
      <c r="BZ33" s="66"/>
      <c r="CA33" s="66"/>
      <c r="CB33" s="66"/>
      <c r="CC33" s="67"/>
      <c r="CD33" s="66"/>
      <c r="CE33" s="66"/>
      <c r="CF33" s="68"/>
      <c r="CG33" s="66"/>
      <c r="CH33" s="66"/>
      <c r="CI33" s="66"/>
      <c r="CJ33" s="66"/>
      <c r="CK33" s="67"/>
      <c r="CL33" s="66"/>
      <c r="CM33" s="66"/>
      <c r="CN33" s="66"/>
      <c r="CO33" s="66"/>
      <c r="CP33" s="67"/>
      <c r="CQ33" s="66"/>
      <c r="CR33" s="66"/>
      <c r="CS33" s="66"/>
      <c r="CT33" s="67"/>
      <c r="CU33" s="66"/>
      <c r="CV33" s="66"/>
      <c r="CW33" s="66"/>
      <c r="CX33" s="67"/>
      <c r="CY33" s="66"/>
      <c r="CZ33" s="66"/>
      <c r="DA33" s="66"/>
      <c r="DB33" s="66"/>
      <c r="DC33" s="67"/>
      <c r="DD33" s="66"/>
      <c r="DE33" s="66"/>
      <c r="DF33" s="66"/>
      <c r="DG33" s="67"/>
      <c r="DH33" s="66"/>
      <c r="DI33" s="66"/>
      <c r="DJ33" s="66"/>
      <c r="DK33" s="67"/>
      <c r="DL33" s="66"/>
      <c r="DM33" s="66"/>
      <c r="DN33" s="66"/>
      <c r="DO33" s="66"/>
      <c r="DP33" s="16"/>
    </row>
    <row r="34" spans="1:120" ht="12.75" customHeight="1" collapsed="1">
      <c r="A34" s="14"/>
      <c r="B34" s="396"/>
      <c r="C34" s="672" t="s">
        <v>591</v>
      </c>
      <c r="D34" s="691"/>
      <c r="E34" s="664" t="s">
        <v>37</v>
      </c>
      <c r="F34" s="481" t="s">
        <v>77</v>
      </c>
      <c r="G34" s="652" t="s">
        <v>345</v>
      </c>
      <c r="H34" s="274" t="s">
        <v>40</v>
      </c>
      <c r="I34" s="636">
        <f>I42</f>
        <v>1046999.5</v>
      </c>
      <c r="J34" s="641">
        <f>J42</f>
        <v>0</v>
      </c>
      <c r="K34" s="631">
        <f>K42</f>
        <v>0</v>
      </c>
      <c r="L34" s="639" t="s">
        <v>41</v>
      </c>
      <c r="M34" s="720">
        <v>0.29530000000000001</v>
      </c>
      <c r="N34" s="724">
        <v>0.32</v>
      </c>
      <c r="O34" s="23"/>
      <c r="P34" s="25"/>
      <c r="Q34" s="25"/>
      <c r="R34" s="186" t="s">
        <v>27</v>
      </c>
      <c r="S34" s="455" t="s">
        <v>27</v>
      </c>
      <c r="T34" s="23"/>
      <c r="U34" s="24"/>
      <c r="V34" s="24"/>
      <c r="W34" s="11" t="s">
        <v>266</v>
      </c>
      <c r="X34" s="23"/>
      <c r="Y34" s="11" t="s">
        <v>79</v>
      </c>
      <c r="Z34" s="25"/>
      <c r="AA34" s="26"/>
      <c r="AB34" s="23"/>
      <c r="AC34" s="25"/>
      <c r="AD34" s="215" t="s">
        <v>86</v>
      </c>
      <c r="AE34" s="24"/>
      <c r="AF34" s="293" t="s">
        <v>82</v>
      </c>
      <c r="AG34" s="434" t="s">
        <v>220</v>
      </c>
      <c r="AH34" s="164" t="s">
        <v>232</v>
      </c>
      <c r="AI34" s="24"/>
      <c r="AJ34" s="293" t="s">
        <v>285</v>
      </c>
      <c r="AK34" s="115" t="s">
        <v>89</v>
      </c>
      <c r="AL34" s="24"/>
      <c r="AM34" s="145" t="s">
        <v>87</v>
      </c>
      <c r="AN34" s="26"/>
      <c r="AO34" s="23"/>
      <c r="AP34" s="24"/>
      <c r="AQ34" s="24"/>
      <c r="AR34" s="24"/>
      <c r="AS34" s="26"/>
      <c r="AT34" s="527" t="s">
        <v>184</v>
      </c>
      <c r="AU34" s="11" t="s">
        <v>90</v>
      </c>
      <c r="AV34" s="58"/>
      <c r="AW34" s="183"/>
      <c r="AX34" s="23"/>
      <c r="AY34" s="25"/>
      <c r="AZ34" s="25"/>
      <c r="BA34" s="269" t="s">
        <v>183</v>
      </c>
      <c r="BB34" s="115" t="s">
        <v>100</v>
      </c>
      <c r="BC34" s="58"/>
      <c r="BD34" s="164" t="s">
        <v>101</v>
      </c>
      <c r="BE34" s="164" t="s">
        <v>101</v>
      </c>
      <c r="BF34" s="186" t="s">
        <v>101</v>
      </c>
      <c r="BG34" s="344" t="s">
        <v>101</v>
      </c>
      <c r="BH34" s="325"/>
      <c r="BI34" s="325"/>
      <c r="BJ34" s="26"/>
      <c r="BK34" s="260"/>
      <c r="BL34" s="257" t="s">
        <v>14</v>
      </c>
      <c r="BM34" s="24"/>
      <c r="BN34" s="24"/>
      <c r="BO34" s="27"/>
      <c r="BP34" s="23"/>
      <c r="BQ34" s="24"/>
      <c r="BR34" s="113" t="s">
        <v>30</v>
      </c>
      <c r="BS34" s="27"/>
      <c r="BT34" s="23"/>
      <c r="BU34" s="377" t="s">
        <v>109</v>
      </c>
      <c r="BV34" s="377" t="s">
        <v>109</v>
      </c>
      <c r="BW34" s="607" t="s">
        <v>42</v>
      </c>
      <c r="BX34" s="23"/>
      <c r="BY34" s="24"/>
      <c r="BZ34" s="24"/>
      <c r="CA34" s="24"/>
      <c r="CB34" s="183"/>
      <c r="CC34" s="23"/>
      <c r="CD34" s="25"/>
      <c r="CE34" s="24"/>
      <c r="CF34" s="26"/>
      <c r="CG34" s="25"/>
      <c r="CH34" s="25"/>
      <c r="CI34" s="24"/>
      <c r="CJ34" s="183"/>
      <c r="CK34" s="23"/>
      <c r="CL34" s="24"/>
      <c r="CM34" s="24"/>
      <c r="CN34" s="24"/>
      <c r="CO34" s="27"/>
      <c r="CP34" s="23"/>
      <c r="CQ34" s="25"/>
      <c r="CR34" s="24"/>
      <c r="CS34" s="183"/>
      <c r="CT34" s="23"/>
      <c r="CU34" s="25"/>
      <c r="CV34" s="24"/>
      <c r="CW34" s="183"/>
      <c r="CX34" s="23"/>
      <c r="CY34" s="24"/>
      <c r="CZ34" s="24"/>
      <c r="DA34" s="24"/>
      <c r="DB34" s="27"/>
      <c r="DC34" s="23"/>
      <c r="DD34" s="25"/>
      <c r="DE34" s="24"/>
      <c r="DF34" s="183"/>
      <c r="DG34" s="23"/>
      <c r="DH34" s="25"/>
      <c r="DI34" s="24"/>
      <c r="DJ34" s="183"/>
      <c r="DK34" s="23"/>
      <c r="DL34" s="24"/>
      <c r="DM34" s="24"/>
      <c r="DN34" s="24"/>
      <c r="DO34" s="27"/>
      <c r="DP34" s="728" t="s">
        <v>267</v>
      </c>
    </row>
    <row r="35" spans="1:120" ht="12.75" hidden="1" customHeight="1" outlineLevel="1">
      <c r="A35" s="14"/>
      <c r="B35" s="396"/>
      <c r="C35" s="656"/>
      <c r="D35" s="657"/>
      <c r="E35" s="665"/>
      <c r="F35" s="42" t="s">
        <v>186</v>
      </c>
      <c r="G35" s="649"/>
      <c r="H35" s="482" t="s">
        <v>31</v>
      </c>
      <c r="I35" s="635"/>
      <c r="J35" s="642"/>
      <c r="K35" s="632"/>
      <c r="L35" s="630"/>
      <c r="M35" s="628"/>
      <c r="N35" s="628"/>
      <c r="O35" s="129"/>
      <c r="P35" s="129"/>
      <c r="Q35" s="129"/>
      <c r="R35" s="129"/>
      <c r="S35" s="194" t="s">
        <v>199</v>
      </c>
      <c r="T35" s="201" t="s">
        <v>221</v>
      </c>
      <c r="U35" s="131" t="s">
        <v>284</v>
      </c>
      <c r="V35" s="32" t="s">
        <v>35</v>
      </c>
      <c r="W35" s="195" t="s">
        <v>32</v>
      </c>
      <c r="X35" s="131" t="s">
        <v>284</v>
      </c>
      <c r="Y35" s="140" t="s">
        <v>284</v>
      </c>
      <c r="Z35" s="43" t="s">
        <v>32</v>
      </c>
      <c r="AA35" s="268" t="s">
        <v>269</v>
      </c>
      <c r="AB35" s="34"/>
      <c r="AC35" s="129"/>
      <c r="AD35" s="43" t="s">
        <v>32</v>
      </c>
      <c r="AE35" s="32" t="s">
        <v>32</v>
      </c>
      <c r="AF35" s="203"/>
      <c r="AG35" s="34"/>
      <c r="AH35" s="35"/>
      <c r="AI35" s="35"/>
      <c r="AJ35" s="201" t="s">
        <v>251</v>
      </c>
      <c r="AK35" s="36" t="s">
        <v>102</v>
      </c>
      <c r="AL35" s="409" t="s">
        <v>251</v>
      </c>
      <c r="AM35" s="131" t="s">
        <v>274</v>
      </c>
      <c r="AN35" s="150" t="s">
        <v>111</v>
      </c>
      <c r="AO35" s="134"/>
      <c r="AP35" s="140" t="s">
        <v>432</v>
      </c>
      <c r="AQ35" s="129"/>
      <c r="AR35" s="129"/>
      <c r="AS35" s="195" t="s">
        <v>36</v>
      </c>
      <c r="AT35" s="168" t="s">
        <v>416</v>
      </c>
      <c r="AU35" s="168" t="s">
        <v>424</v>
      </c>
      <c r="AV35" s="187" t="s">
        <v>92</v>
      </c>
      <c r="AW35" s="270" t="s">
        <v>456</v>
      </c>
      <c r="AX35" s="561" t="s">
        <v>102</v>
      </c>
      <c r="AY35" s="157" t="s">
        <v>474</v>
      </c>
      <c r="AZ35" s="157" t="s">
        <v>457</v>
      </c>
      <c r="BA35" s="270" t="s">
        <v>480</v>
      </c>
      <c r="BB35" s="267" t="s">
        <v>499</v>
      </c>
      <c r="BC35" s="307" t="s">
        <v>92</v>
      </c>
      <c r="BD35" s="129"/>
      <c r="BE35" s="270" t="s">
        <v>415</v>
      </c>
      <c r="BF35" s="203"/>
      <c r="BG35" s="130"/>
      <c r="BH35" s="296" t="s">
        <v>102</v>
      </c>
      <c r="BI35" s="270" t="s">
        <v>117</v>
      </c>
      <c r="BJ35" s="195" t="s">
        <v>102</v>
      </c>
      <c r="BK35" s="80"/>
      <c r="BL35" s="129"/>
      <c r="BM35" s="598" t="s">
        <v>102</v>
      </c>
      <c r="BN35" s="297" t="s">
        <v>203</v>
      </c>
      <c r="BO35" s="148" t="s">
        <v>110</v>
      </c>
      <c r="BP35" s="130"/>
      <c r="BQ35" s="212" t="s">
        <v>138</v>
      </c>
      <c r="BR35" s="129"/>
      <c r="BS35" s="129"/>
      <c r="BT35" s="130"/>
      <c r="BU35" s="129"/>
      <c r="BV35" s="117" t="s">
        <v>200</v>
      </c>
      <c r="BW35" s="208" t="s">
        <v>200</v>
      </c>
      <c r="BX35" s="610" t="s">
        <v>118</v>
      </c>
      <c r="BY35" s="80"/>
      <c r="BZ35" s="372"/>
      <c r="CA35" s="372"/>
      <c r="CB35" s="532"/>
      <c r="CC35" s="34"/>
      <c r="CD35" s="129"/>
      <c r="CE35" s="129"/>
      <c r="CF35" s="142"/>
      <c r="CG35" s="35"/>
      <c r="CH35" s="129"/>
      <c r="CI35" s="129"/>
      <c r="CJ35" s="203"/>
      <c r="CK35" s="117" t="s">
        <v>197</v>
      </c>
      <c r="CL35" s="80"/>
      <c r="CM35" s="372"/>
      <c r="CN35" s="372"/>
      <c r="CO35" s="129"/>
      <c r="CP35" s="34"/>
      <c r="CQ35" s="129"/>
      <c r="CR35" s="129"/>
      <c r="CS35" s="203"/>
      <c r="CT35" s="34"/>
      <c r="CU35" s="129"/>
      <c r="CV35" s="129"/>
      <c r="CW35" s="203"/>
      <c r="CX35" s="130"/>
      <c r="CY35" s="80"/>
      <c r="CZ35" s="372"/>
      <c r="DA35" s="372"/>
      <c r="DB35" s="441"/>
      <c r="DC35" s="34"/>
      <c r="DD35" s="129"/>
      <c r="DE35" s="129"/>
      <c r="DF35" s="203"/>
      <c r="DG35" s="34"/>
      <c r="DH35" s="129"/>
      <c r="DI35" s="129"/>
      <c r="DJ35" s="203"/>
      <c r="DK35" s="130"/>
      <c r="DL35" s="80"/>
      <c r="DM35" s="372"/>
      <c r="DN35" s="372"/>
      <c r="DO35" s="441"/>
      <c r="DP35" s="718"/>
    </row>
    <row r="36" spans="1:120" ht="12.75" hidden="1" customHeight="1" outlineLevel="1">
      <c r="A36" s="14"/>
      <c r="B36" s="396"/>
      <c r="C36" s="656"/>
      <c r="D36" s="657"/>
      <c r="E36" s="665"/>
      <c r="F36" s="357" t="s">
        <v>392</v>
      </c>
      <c r="G36" s="649"/>
      <c r="H36" s="483" t="s">
        <v>66</v>
      </c>
      <c r="I36" s="635"/>
      <c r="J36" s="642"/>
      <c r="K36" s="632"/>
      <c r="L36" s="630"/>
      <c r="M36" s="628"/>
      <c r="N36" s="628"/>
      <c r="O36" s="149" t="s">
        <v>256</v>
      </c>
      <c r="P36" s="140" t="s">
        <v>257</v>
      </c>
      <c r="Q36" s="140" t="s">
        <v>255</v>
      </c>
      <c r="R36" s="328"/>
      <c r="S36" s="361" t="s">
        <v>262</v>
      </c>
      <c r="T36" s="135"/>
      <c r="U36" s="47"/>
      <c r="V36" s="140" t="s">
        <v>286</v>
      </c>
      <c r="W36" s="196" t="s">
        <v>64</v>
      </c>
      <c r="X36" s="46"/>
      <c r="Y36" s="32" t="s">
        <v>194</v>
      </c>
      <c r="Z36" s="32" t="s">
        <v>64</v>
      </c>
      <c r="AA36" s="48"/>
      <c r="AB36" s="46"/>
      <c r="AC36" s="138"/>
      <c r="AD36" s="140" t="s">
        <v>161</v>
      </c>
      <c r="AE36" s="262" t="s">
        <v>65</v>
      </c>
      <c r="AF36" s="270" t="s">
        <v>190</v>
      </c>
      <c r="AG36" s="125" t="s">
        <v>73</v>
      </c>
      <c r="AH36" s="138"/>
      <c r="AI36" s="321"/>
      <c r="AJ36" s="307" t="s">
        <v>339</v>
      </c>
      <c r="AK36" s="46"/>
      <c r="AL36" s="138"/>
      <c r="AM36" s="138"/>
      <c r="AN36" s="355" t="s">
        <v>52</v>
      </c>
      <c r="AO36" s="428" t="s">
        <v>259</v>
      </c>
      <c r="AP36" s="312" t="s">
        <v>235</v>
      </c>
      <c r="AQ36" s="138"/>
      <c r="AR36" s="384" t="s">
        <v>52</v>
      </c>
      <c r="AS36" s="226" t="s">
        <v>233</v>
      </c>
      <c r="AT36" s="428" t="s">
        <v>259</v>
      </c>
      <c r="AU36" s="158" t="s">
        <v>233</v>
      </c>
      <c r="AV36" s="177"/>
      <c r="AW36" s="254" t="s">
        <v>259</v>
      </c>
      <c r="AX36" s="264" t="s">
        <v>96</v>
      </c>
      <c r="AY36" s="254" t="s">
        <v>261</v>
      </c>
      <c r="AZ36" s="221" t="s">
        <v>480</v>
      </c>
      <c r="BA36" s="270" t="s">
        <v>497</v>
      </c>
      <c r="BB36" s="267" t="s">
        <v>233</v>
      </c>
      <c r="BC36" s="157" t="s">
        <v>254</v>
      </c>
      <c r="BD36" s="427" t="s">
        <v>122</v>
      </c>
      <c r="BE36" s="221" t="s">
        <v>182</v>
      </c>
      <c r="BF36" s="254" t="s">
        <v>258</v>
      </c>
      <c r="BG36" s="149" t="s">
        <v>182</v>
      </c>
      <c r="BH36" s="419" t="s">
        <v>258</v>
      </c>
      <c r="BI36" s="419" t="s">
        <v>122</v>
      </c>
      <c r="BJ36" s="611" t="s">
        <v>258</v>
      </c>
      <c r="BK36" s="273" t="s">
        <v>122</v>
      </c>
      <c r="BL36" s="47"/>
      <c r="BM36" s="273" t="s">
        <v>258</v>
      </c>
      <c r="BN36" s="47"/>
      <c r="BO36" s="117" t="s">
        <v>119</v>
      </c>
      <c r="BP36" s="208" t="s">
        <v>586</v>
      </c>
      <c r="BQ36" s="47"/>
      <c r="BR36" s="47"/>
      <c r="BS36" s="48"/>
      <c r="BT36" s="46"/>
      <c r="BU36" s="47"/>
      <c r="BV36" s="47"/>
      <c r="BW36" s="177"/>
      <c r="BX36" s="46"/>
      <c r="BY36" s="47"/>
      <c r="BZ36" s="47"/>
      <c r="CA36" s="47"/>
      <c r="CB36" s="177"/>
      <c r="CC36" s="46"/>
      <c r="CD36" s="47"/>
      <c r="CE36" s="47"/>
      <c r="CF36" s="48"/>
      <c r="CG36" s="47"/>
      <c r="CH36" s="47"/>
      <c r="CI36" s="47"/>
      <c r="CJ36" s="177"/>
      <c r="CK36" s="46"/>
      <c r="CL36" s="47"/>
      <c r="CM36" s="47"/>
      <c r="CN36" s="47"/>
      <c r="CO36" s="48"/>
      <c r="CP36" s="46"/>
      <c r="CQ36" s="47"/>
      <c r="CR36" s="47"/>
      <c r="CS36" s="177"/>
      <c r="CT36" s="46"/>
      <c r="CU36" s="47"/>
      <c r="CV36" s="47"/>
      <c r="CW36" s="177"/>
      <c r="CX36" s="46"/>
      <c r="CY36" s="47"/>
      <c r="CZ36" s="47"/>
      <c r="DA36" s="47"/>
      <c r="DB36" s="48"/>
      <c r="DC36" s="46"/>
      <c r="DD36" s="47"/>
      <c r="DE36" s="47"/>
      <c r="DF36" s="177"/>
      <c r="DG36" s="46"/>
      <c r="DH36" s="47"/>
      <c r="DI36" s="47"/>
      <c r="DJ36" s="177"/>
      <c r="DK36" s="46"/>
      <c r="DL36" s="47"/>
      <c r="DM36" s="47"/>
      <c r="DN36" s="47"/>
      <c r="DO36" s="48"/>
      <c r="DP36" s="718"/>
    </row>
    <row r="37" spans="1:120" ht="12.75" hidden="1" customHeight="1" outlineLevel="1">
      <c r="A37" s="14"/>
      <c r="B37" s="396"/>
      <c r="C37" s="656"/>
      <c r="D37" s="657"/>
      <c r="E37" s="665"/>
      <c r="F37" s="357" t="s">
        <v>393</v>
      </c>
      <c r="G37" s="649"/>
      <c r="H37" s="483" t="s">
        <v>66</v>
      </c>
      <c r="I37" s="635"/>
      <c r="J37" s="642"/>
      <c r="K37" s="632"/>
      <c r="L37" s="630"/>
      <c r="M37" s="628"/>
      <c r="N37" s="628"/>
      <c r="O37" s="327"/>
      <c r="P37" s="328"/>
      <c r="Q37" s="328"/>
      <c r="R37" s="330"/>
      <c r="S37" s="199" t="s">
        <v>248</v>
      </c>
      <c r="T37" s="125" t="s">
        <v>108</v>
      </c>
      <c r="U37" s="47"/>
      <c r="V37" s="356" t="s">
        <v>263</v>
      </c>
      <c r="W37" s="361" t="s">
        <v>287</v>
      </c>
      <c r="X37" s="356" t="s">
        <v>263</v>
      </c>
      <c r="Y37" s="188" t="s">
        <v>145</v>
      </c>
      <c r="Z37" s="47"/>
      <c r="AA37" s="268" t="s">
        <v>314</v>
      </c>
      <c r="AB37" s="327"/>
      <c r="AC37" s="328"/>
      <c r="AD37" s="177"/>
      <c r="AE37" s="262" t="s">
        <v>145</v>
      </c>
      <c r="AF37" s="384" t="s">
        <v>192</v>
      </c>
      <c r="AG37" s="478" t="s">
        <v>268</v>
      </c>
      <c r="AH37" s="270" t="s">
        <v>268</v>
      </c>
      <c r="AI37" s="281" t="s">
        <v>359</v>
      </c>
      <c r="AJ37" s="270" t="s">
        <v>271</v>
      </c>
      <c r="AK37" s="507" t="s">
        <v>271</v>
      </c>
      <c r="AL37" s="504" t="s">
        <v>270</v>
      </c>
      <c r="AM37" s="32" t="s">
        <v>64</v>
      </c>
      <c r="AN37" s="329"/>
      <c r="AO37" s="521" t="s">
        <v>260</v>
      </c>
      <c r="AP37" s="331"/>
      <c r="AQ37" s="331"/>
      <c r="AR37" s="330"/>
      <c r="AS37" s="329"/>
      <c r="AT37" s="521" t="s">
        <v>260</v>
      </c>
      <c r="AU37" s="331"/>
      <c r="AV37" s="330"/>
      <c r="AW37" s="254" t="s">
        <v>260</v>
      </c>
      <c r="AX37" s="264" t="s">
        <v>96</v>
      </c>
      <c r="AY37" s="272" t="s">
        <v>52</v>
      </c>
      <c r="AZ37" s="356" t="s">
        <v>480</v>
      </c>
      <c r="BA37" s="270" t="s">
        <v>498</v>
      </c>
      <c r="BB37" s="267" t="s">
        <v>233</v>
      </c>
      <c r="BC37" s="157" t="s">
        <v>254</v>
      </c>
      <c r="BD37" s="427" t="s">
        <v>122</v>
      </c>
      <c r="BE37" s="330"/>
      <c r="BF37" s="254" t="s">
        <v>258</v>
      </c>
      <c r="BG37" s="327"/>
      <c r="BH37" s="419" t="s">
        <v>258</v>
      </c>
      <c r="BI37" s="419" t="s">
        <v>122</v>
      </c>
      <c r="BJ37" s="611" t="s">
        <v>258</v>
      </c>
      <c r="BK37" s="273" t="s">
        <v>122</v>
      </c>
      <c r="BL37" s="328"/>
      <c r="BM37" s="273" t="s">
        <v>258</v>
      </c>
      <c r="BN37" s="328"/>
      <c r="BO37" s="328"/>
      <c r="BP37" s="327"/>
      <c r="BQ37" s="331"/>
      <c r="BR37" s="328"/>
      <c r="BS37" s="329"/>
      <c r="BT37" s="327"/>
      <c r="BU37" s="331"/>
      <c r="BV37" s="328"/>
      <c r="BW37" s="330"/>
      <c r="BX37" s="327"/>
      <c r="BY37" s="328"/>
      <c r="BZ37" s="328"/>
      <c r="CA37" s="328"/>
      <c r="CB37" s="330"/>
      <c r="CC37" s="327"/>
      <c r="CD37" s="331"/>
      <c r="CE37" s="328"/>
      <c r="CF37" s="329"/>
      <c r="CG37" s="328"/>
      <c r="CH37" s="331"/>
      <c r="CI37" s="328"/>
      <c r="CJ37" s="330"/>
      <c r="CK37" s="327"/>
      <c r="CL37" s="328"/>
      <c r="CM37" s="328"/>
      <c r="CN37" s="328"/>
      <c r="CO37" s="329"/>
      <c r="CP37" s="327"/>
      <c r="CQ37" s="331"/>
      <c r="CR37" s="328"/>
      <c r="CS37" s="330"/>
      <c r="CT37" s="327"/>
      <c r="CU37" s="331"/>
      <c r="CV37" s="328"/>
      <c r="CW37" s="330"/>
      <c r="CX37" s="327"/>
      <c r="CY37" s="328"/>
      <c r="CZ37" s="328"/>
      <c r="DA37" s="328"/>
      <c r="DB37" s="329"/>
      <c r="DC37" s="327"/>
      <c r="DD37" s="331"/>
      <c r="DE37" s="328"/>
      <c r="DF37" s="330"/>
      <c r="DG37" s="327"/>
      <c r="DH37" s="331"/>
      <c r="DI37" s="328"/>
      <c r="DJ37" s="330"/>
      <c r="DK37" s="327"/>
      <c r="DL37" s="328"/>
      <c r="DM37" s="328"/>
      <c r="DN37" s="328"/>
      <c r="DO37" s="329"/>
      <c r="DP37" s="718"/>
    </row>
    <row r="38" spans="1:120" ht="12.75" hidden="1" customHeight="1" outlineLevel="1">
      <c r="A38" s="14"/>
      <c r="B38" s="396"/>
      <c r="C38" s="656"/>
      <c r="D38" s="657"/>
      <c r="E38" s="665"/>
      <c r="F38" s="357"/>
      <c r="G38" s="498"/>
      <c r="H38" s="483" t="s">
        <v>534</v>
      </c>
      <c r="I38" s="635"/>
      <c r="J38" s="642"/>
      <c r="K38" s="632"/>
      <c r="L38" s="630"/>
      <c r="M38" s="628"/>
      <c r="N38" s="628"/>
      <c r="O38" s="327"/>
      <c r="P38" s="328"/>
      <c r="Q38" s="328"/>
      <c r="R38" s="330"/>
      <c r="S38" s="429"/>
      <c r="T38" s="420"/>
      <c r="U38" s="328"/>
      <c r="V38" s="408"/>
      <c r="W38" s="281"/>
      <c r="X38" s="356"/>
      <c r="Y38" s="417"/>
      <c r="Z38" s="328"/>
      <c r="AA38" s="268"/>
      <c r="AB38" s="327"/>
      <c r="AC38" s="328"/>
      <c r="AD38" s="330"/>
      <c r="AE38" s="384"/>
      <c r="AF38" s="384"/>
      <c r="AG38" s="478"/>
      <c r="AH38" s="281"/>
      <c r="AI38" s="281"/>
      <c r="AJ38" s="281"/>
      <c r="AK38" s="507"/>
      <c r="AL38" s="504"/>
      <c r="AM38" s="272"/>
      <c r="AN38" s="329"/>
      <c r="AO38" s="478"/>
      <c r="AP38" s="331"/>
      <c r="AQ38" s="331"/>
      <c r="AR38" s="330"/>
      <c r="AS38" s="329"/>
      <c r="AT38" s="478"/>
      <c r="AU38" s="331"/>
      <c r="AV38" s="330"/>
      <c r="AW38" s="408"/>
      <c r="AX38" s="480"/>
      <c r="AY38" s="328"/>
      <c r="AZ38" s="356"/>
      <c r="BA38" s="304"/>
      <c r="BB38" s="470"/>
      <c r="BC38" s="331"/>
      <c r="BD38" s="418"/>
      <c r="BE38" s="330"/>
      <c r="BF38" s="330"/>
      <c r="BG38" s="327"/>
      <c r="BH38" s="331"/>
      <c r="BI38" s="328"/>
      <c r="BJ38" s="329"/>
      <c r="BK38" s="328"/>
      <c r="BL38" s="328"/>
      <c r="BM38" s="328"/>
      <c r="BN38" s="328"/>
      <c r="BO38" s="328"/>
      <c r="BP38" s="327"/>
      <c r="BQ38" s="331"/>
      <c r="BR38" s="328"/>
      <c r="BS38" s="329"/>
      <c r="BT38" s="327"/>
      <c r="BU38" s="331"/>
      <c r="BV38" s="328"/>
      <c r="BW38" s="330"/>
      <c r="BX38" s="327"/>
      <c r="BY38" s="328"/>
      <c r="BZ38" s="328"/>
      <c r="CA38" s="328"/>
      <c r="CB38" s="330"/>
      <c r="CC38" s="327"/>
      <c r="CD38" s="331"/>
      <c r="CE38" s="328"/>
      <c r="CF38" s="329"/>
      <c r="CG38" s="328"/>
      <c r="CH38" s="331"/>
      <c r="CI38" s="328"/>
      <c r="CJ38" s="330"/>
      <c r="CK38" s="327"/>
      <c r="CL38" s="328"/>
      <c r="CM38" s="328"/>
      <c r="CN38" s="328"/>
      <c r="CO38" s="329"/>
      <c r="CP38" s="327"/>
      <c r="CQ38" s="331"/>
      <c r="CR38" s="328"/>
      <c r="CS38" s="330"/>
      <c r="CT38" s="327"/>
      <c r="CU38" s="331"/>
      <c r="CV38" s="328"/>
      <c r="CW38" s="330"/>
      <c r="CX38" s="327"/>
      <c r="CY38" s="328"/>
      <c r="CZ38" s="328"/>
      <c r="DA38" s="328"/>
      <c r="DB38" s="329"/>
      <c r="DC38" s="327"/>
      <c r="DD38" s="331"/>
      <c r="DE38" s="328"/>
      <c r="DF38" s="330"/>
      <c r="DG38" s="327"/>
      <c r="DH38" s="331"/>
      <c r="DI38" s="328"/>
      <c r="DJ38" s="330"/>
      <c r="DK38" s="327"/>
      <c r="DL38" s="328"/>
      <c r="DM38" s="328"/>
      <c r="DN38" s="328"/>
      <c r="DO38" s="329"/>
      <c r="DP38" s="718"/>
    </row>
    <row r="39" spans="1:120" ht="12.75" hidden="1" customHeight="1" outlineLevel="1">
      <c r="A39" s="14"/>
      <c r="B39" s="396"/>
      <c r="C39" s="656"/>
      <c r="D39" s="657"/>
      <c r="E39" s="665"/>
      <c r="F39" s="225" t="s">
        <v>0</v>
      </c>
      <c r="G39" s="649" t="str">
        <f>G34</f>
        <v>Setting phase</v>
      </c>
      <c r="H39" s="484" t="s">
        <v>129</v>
      </c>
      <c r="I39" s="635"/>
      <c r="J39" s="642"/>
      <c r="K39" s="632"/>
      <c r="L39" s="630"/>
      <c r="M39" s="628"/>
      <c r="N39" s="628"/>
      <c r="O39" s="218"/>
      <c r="P39" s="242"/>
      <c r="Q39" s="242"/>
      <c r="R39" s="242"/>
      <c r="S39" s="244"/>
      <c r="T39" s="218"/>
      <c r="U39" s="317" t="s">
        <v>295</v>
      </c>
      <c r="V39" s="245"/>
      <c r="W39" s="317" t="s">
        <v>290</v>
      </c>
      <c r="X39" s="218"/>
      <c r="Y39" s="242"/>
      <c r="Z39" s="282" t="s">
        <v>308</v>
      </c>
      <c r="AA39" s="282" t="s">
        <v>313</v>
      </c>
      <c r="AB39" s="218"/>
      <c r="AC39" s="282" t="s">
        <v>320</v>
      </c>
      <c r="AD39" s="198" t="s">
        <v>86</v>
      </c>
      <c r="AE39" s="242"/>
      <c r="AF39" s="382" t="s">
        <v>333</v>
      </c>
      <c r="AG39" s="264" t="s">
        <v>332</v>
      </c>
      <c r="AH39" s="273" t="s">
        <v>232</v>
      </c>
      <c r="AI39" s="242"/>
      <c r="AJ39" s="245"/>
      <c r="AK39" s="216" t="s">
        <v>89</v>
      </c>
      <c r="AL39" s="282" t="s">
        <v>373</v>
      </c>
      <c r="AM39" s="273" t="s">
        <v>364</v>
      </c>
      <c r="AN39" s="246"/>
      <c r="AO39" s="351" t="s">
        <v>401</v>
      </c>
      <c r="AP39" s="242"/>
      <c r="AQ39" s="251"/>
      <c r="AR39" s="251"/>
      <c r="AS39" s="383" t="s">
        <v>426</v>
      </c>
      <c r="AT39" s="294" t="s">
        <v>438</v>
      </c>
      <c r="AU39" s="276" t="s">
        <v>481</v>
      </c>
      <c r="AV39" s="242"/>
      <c r="AW39" s="245"/>
      <c r="AX39" s="218"/>
      <c r="AY39" s="242"/>
      <c r="AZ39" s="317" t="s">
        <v>486</v>
      </c>
      <c r="BA39" s="315" t="s">
        <v>496</v>
      </c>
      <c r="BB39" s="219" t="s">
        <v>101</v>
      </c>
      <c r="BC39" s="282" t="s">
        <v>507</v>
      </c>
      <c r="BD39" s="273" t="s">
        <v>529</v>
      </c>
      <c r="BE39" s="318" t="s">
        <v>490</v>
      </c>
      <c r="BF39" s="343" t="s">
        <v>127</v>
      </c>
      <c r="BG39" s="479" t="s">
        <v>124</v>
      </c>
      <c r="BH39" s="282" t="s">
        <v>547</v>
      </c>
      <c r="BI39" s="282"/>
      <c r="BJ39" s="246"/>
      <c r="BK39" s="65"/>
      <c r="BL39" s="276" t="s">
        <v>578</v>
      </c>
      <c r="BM39" s="242"/>
      <c r="BN39" s="242"/>
      <c r="BO39" s="83" t="s">
        <v>42</v>
      </c>
      <c r="BP39" s="601" t="s">
        <v>109</v>
      </c>
      <c r="BQ39" s="376" t="s">
        <v>109</v>
      </c>
      <c r="BR39" s="90" t="s">
        <v>30</v>
      </c>
      <c r="BS39" s="83" t="s">
        <v>42</v>
      </c>
      <c r="BT39" s="218"/>
      <c r="BU39" s="242"/>
      <c r="BV39" s="242"/>
      <c r="BW39" s="245"/>
      <c r="BX39" s="218"/>
      <c r="BY39" s="242"/>
      <c r="BZ39" s="242"/>
      <c r="CA39" s="242"/>
      <c r="CB39" s="245"/>
      <c r="CC39" s="218"/>
      <c r="CD39" s="242"/>
      <c r="CE39" s="242"/>
      <c r="CF39" s="246"/>
      <c r="CG39" s="242"/>
      <c r="CH39" s="242"/>
      <c r="CI39" s="242"/>
      <c r="CJ39" s="245"/>
      <c r="CK39" s="218"/>
      <c r="CL39" s="242"/>
      <c r="CM39" s="242"/>
      <c r="CN39" s="242"/>
      <c r="CO39" s="246"/>
      <c r="CP39" s="218"/>
      <c r="CQ39" s="242"/>
      <c r="CR39" s="242"/>
      <c r="CS39" s="245"/>
      <c r="CT39" s="218"/>
      <c r="CU39" s="242"/>
      <c r="CV39" s="242"/>
      <c r="CW39" s="245"/>
      <c r="CX39" s="218"/>
      <c r="CY39" s="242"/>
      <c r="CZ39" s="242"/>
      <c r="DA39" s="242"/>
      <c r="DB39" s="246"/>
      <c r="DC39" s="218"/>
      <c r="DD39" s="242"/>
      <c r="DE39" s="242"/>
      <c r="DF39" s="245"/>
      <c r="DG39" s="218"/>
      <c r="DH39" s="242"/>
      <c r="DI39" s="242"/>
      <c r="DJ39" s="245"/>
      <c r="DK39" s="218"/>
      <c r="DL39" s="242"/>
      <c r="DM39" s="242"/>
      <c r="DN39" s="242"/>
      <c r="DO39" s="246"/>
      <c r="DP39" s="718"/>
    </row>
    <row r="40" spans="1:120" ht="12.75" hidden="1" customHeight="1" outlineLevel="1">
      <c r="A40" s="14"/>
      <c r="B40" s="396"/>
      <c r="C40" s="656"/>
      <c r="D40" s="657"/>
      <c r="E40" s="665"/>
      <c r="F40" s="225" t="s">
        <v>0</v>
      </c>
      <c r="G40" s="649"/>
      <c r="H40" s="484" t="s">
        <v>130</v>
      </c>
      <c r="I40" s="635"/>
      <c r="J40" s="642"/>
      <c r="K40" s="632"/>
      <c r="L40" s="630"/>
      <c r="M40" s="629"/>
      <c r="N40" s="628"/>
      <c r="O40" s="278"/>
      <c r="P40" s="279"/>
      <c r="Q40" s="279"/>
      <c r="R40" s="64"/>
      <c r="S40" s="144"/>
      <c r="T40" s="132" t="s">
        <v>121</v>
      </c>
      <c r="U40" s="72"/>
      <c r="V40" s="346" t="s">
        <v>162</v>
      </c>
      <c r="W40" s="437"/>
      <c r="X40" s="278"/>
      <c r="Y40" s="437">
        <v>0.3</v>
      </c>
      <c r="Z40" s="474" t="s">
        <v>162</v>
      </c>
      <c r="AA40" s="277"/>
      <c r="AB40" s="278"/>
      <c r="AC40" s="279"/>
      <c r="AD40" s="279"/>
      <c r="AE40" s="337" t="s">
        <v>171</v>
      </c>
      <c r="AF40" s="437">
        <v>0.3</v>
      </c>
      <c r="AG40" s="278"/>
      <c r="AH40" s="279"/>
      <c r="AI40" s="346" t="s">
        <v>171</v>
      </c>
      <c r="AJ40" s="437">
        <v>0.32</v>
      </c>
      <c r="AK40" s="278"/>
      <c r="AL40" s="437">
        <v>0.32</v>
      </c>
      <c r="AM40" s="474" t="s">
        <v>201</v>
      </c>
      <c r="AN40" s="277"/>
      <c r="AO40" s="278"/>
      <c r="AP40" s="279"/>
      <c r="AQ40" s="279"/>
      <c r="AR40" s="519" t="s">
        <v>171</v>
      </c>
      <c r="AS40" s="437">
        <v>0.32</v>
      </c>
      <c r="AT40" s="146"/>
      <c r="AU40" s="72"/>
      <c r="AV40" s="519" t="s">
        <v>171</v>
      </c>
      <c r="AW40" s="322"/>
      <c r="AX40" s="146"/>
      <c r="AY40" s="72"/>
      <c r="AZ40" s="519" t="s">
        <v>447</v>
      </c>
      <c r="BA40" s="247"/>
      <c r="BB40" s="278"/>
      <c r="BC40" s="279"/>
      <c r="BD40" s="279"/>
      <c r="BE40" s="568" t="s">
        <v>201</v>
      </c>
      <c r="BF40" s="322"/>
      <c r="BG40" s="146"/>
      <c r="BH40" s="72"/>
      <c r="BI40" s="568" t="s">
        <v>201</v>
      </c>
      <c r="BJ40" s="277"/>
      <c r="BK40" s="72"/>
      <c r="BL40" s="72"/>
      <c r="BM40" s="338"/>
      <c r="BN40" s="568" t="s">
        <v>488</v>
      </c>
      <c r="BO40" s="247"/>
      <c r="BP40" s="146"/>
      <c r="BQ40" s="72"/>
      <c r="BR40" s="338"/>
      <c r="BS40" s="277"/>
      <c r="BT40" s="146"/>
      <c r="BU40" s="72"/>
      <c r="BV40" s="338"/>
      <c r="BW40" s="322"/>
      <c r="BX40" s="146"/>
      <c r="BY40" s="72"/>
      <c r="BZ40" s="338"/>
      <c r="CA40" s="338"/>
      <c r="CB40" s="471"/>
      <c r="CC40" s="146"/>
      <c r="CD40" s="72"/>
      <c r="CE40" s="338"/>
      <c r="CF40" s="277"/>
      <c r="CG40" s="72"/>
      <c r="CH40" s="72"/>
      <c r="CI40" s="338"/>
      <c r="CJ40" s="322"/>
      <c r="CK40" s="146"/>
      <c r="CL40" s="72"/>
      <c r="CM40" s="338"/>
      <c r="CN40" s="338"/>
      <c r="CO40" s="136"/>
      <c r="CP40" s="146"/>
      <c r="CQ40" s="72"/>
      <c r="CR40" s="338"/>
      <c r="CS40" s="322"/>
      <c r="CT40" s="146"/>
      <c r="CU40" s="72"/>
      <c r="CV40" s="338"/>
      <c r="CW40" s="322"/>
      <c r="CX40" s="146"/>
      <c r="CY40" s="72"/>
      <c r="CZ40" s="338"/>
      <c r="DA40" s="338"/>
      <c r="DB40" s="136"/>
      <c r="DC40" s="146"/>
      <c r="DD40" s="72"/>
      <c r="DE40" s="338"/>
      <c r="DF40" s="322"/>
      <c r="DG40" s="146"/>
      <c r="DH40" s="72"/>
      <c r="DI40" s="338"/>
      <c r="DJ40" s="322"/>
      <c r="DK40" s="146"/>
      <c r="DL40" s="72"/>
      <c r="DM40" s="338"/>
      <c r="DN40" s="338"/>
      <c r="DO40" s="136"/>
      <c r="DP40" s="719"/>
    </row>
    <row r="41" spans="1:120" ht="12.75" hidden="1" customHeight="1" outlineLevel="1">
      <c r="A41" s="14"/>
      <c r="B41" s="396"/>
      <c r="C41" s="656"/>
      <c r="D41" s="657"/>
      <c r="E41" s="665"/>
      <c r="F41" s="225" t="s">
        <v>0</v>
      </c>
      <c r="G41" s="496"/>
      <c r="H41" s="484" t="s">
        <v>157</v>
      </c>
      <c r="I41" s="635"/>
      <c r="J41" s="642"/>
      <c r="K41" s="632"/>
      <c r="L41" s="630"/>
      <c r="M41" s="629"/>
      <c r="N41" s="628"/>
      <c r="O41" s="154"/>
      <c r="P41" s="153"/>
      <c r="Q41" s="153"/>
      <c r="R41" s="200"/>
      <c r="S41" s="248"/>
      <c r="T41" s="154"/>
      <c r="U41" s="153"/>
      <c r="V41" s="249"/>
      <c r="W41" s="248"/>
      <c r="X41" s="154"/>
      <c r="Y41" s="153"/>
      <c r="Z41" s="153"/>
      <c r="AA41" s="153"/>
      <c r="AB41" s="154"/>
      <c r="AC41" s="153"/>
      <c r="AD41" s="153"/>
      <c r="AE41" s="249"/>
      <c r="AF41" s="310"/>
      <c r="AG41" s="154"/>
      <c r="AH41" s="153"/>
      <c r="AI41" s="153"/>
      <c r="AJ41" s="249"/>
      <c r="AK41" s="146"/>
      <c r="AL41" s="153"/>
      <c r="AM41" s="153"/>
      <c r="AN41" s="250"/>
      <c r="AO41" s="146"/>
      <c r="AP41" s="153"/>
      <c r="AQ41" s="153"/>
      <c r="AR41" s="153"/>
      <c r="AS41" s="250"/>
      <c r="AT41" s="154"/>
      <c r="AU41" s="153"/>
      <c r="AV41" s="153"/>
      <c r="AW41" s="249"/>
      <c r="AX41" s="154"/>
      <c r="AY41" s="153"/>
      <c r="AZ41" s="72"/>
      <c r="BA41" s="247"/>
      <c r="BB41" s="146"/>
      <c r="BC41" s="153"/>
      <c r="BD41" s="153"/>
      <c r="BE41" s="153"/>
      <c r="BF41" s="249"/>
      <c r="BG41" s="154"/>
      <c r="BH41" s="153"/>
      <c r="BI41" s="153"/>
      <c r="BJ41" s="314" t="s">
        <v>160</v>
      </c>
      <c r="BK41" s="347" t="s">
        <v>160</v>
      </c>
      <c r="BL41" s="94" t="s">
        <v>152</v>
      </c>
      <c r="BM41" s="153"/>
      <c r="BN41" s="153"/>
      <c r="BO41" s="250"/>
      <c r="BP41" s="319" t="s">
        <v>160</v>
      </c>
      <c r="BQ41" s="544" t="s">
        <v>152</v>
      </c>
      <c r="BR41" s="153"/>
      <c r="BS41" s="78" t="s">
        <v>153</v>
      </c>
      <c r="BT41" s="153"/>
      <c r="BU41" s="153"/>
      <c r="BV41" s="153"/>
      <c r="BW41" s="249"/>
      <c r="BX41" s="154"/>
      <c r="BY41" s="153"/>
      <c r="BZ41" s="153"/>
      <c r="CA41" s="72"/>
      <c r="CB41" s="247"/>
      <c r="CC41" s="154"/>
      <c r="CD41" s="153"/>
      <c r="CE41" s="153"/>
      <c r="CF41" s="250"/>
      <c r="CG41" s="153"/>
      <c r="CH41" s="153"/>
      <c r="CI41" s="153"/>
      <c r="CJ41" s="250"/>
      <c r="CK41" s="153"/>
      <c r="CL41" s="153"/>
      <c r="CM41" s="153"/>
      <c r="CN41" s="72"/>
      <c r="CO41" s="136"/>
      <c r="CP41" s="154"/>
      <c r="CQ41" s="153"/>
      <c r="CR41" s="153"/>
      <c r="CS41" s="250"/>
      <c r="CT41" s="154"/>
      <c r="CU41" s="153"/>
      <c r="CV41" s="153"/>
      <c r="CW41" s="250"/>
      <c r="CX41" s="153"/>
      <c r="CY41" s="153"/>
      <c r="CZ41" s="153"/>
      <c r="DA41" s="72"/>
      <c r="DB41" s="136"/>
      <c r="DC41" s="154"/>
      <c r="DD41" s="153"/>
      <c r="DE41" s="153"/>
      <c r="DF41" s="250"/>
      <c r="DG41" s="154"/>
      <c r="DH41" s="153"/>
      <c r="DI41" s="153"/>
      <c r="DJ41" s="250"/>
      <c r="DK41" s="153"/>
      <c r="DL41" s="153"/>
      <c r="DM41" s="153"/>
      <c r="DN41" s="72"/>
      <c r="DO41" s="136"/>
      <c r="DP41" s="241" t="s">
        <v>113</v>
      </c>
    </row>
    <row r="42" spans="1:120" ht="12.75" hidden="1" customHeight="1" outlineLevel="1" thickBot="1">
      <c r="A42" s="14"/>
      <c r="B42" s="396"/>
      <c r="C42" s="658"/>
      <c r="D42" s="659"/>
      <c r="E42" s="666"/>
      <c r="F42" s="359" t="s">
        <v>0</v>
      </c>
      <c r="G42" s="497"/>
      <c r="H42" s="489" t="s">
        <v>39</v>
      </c>
      <c r="I42" s="101">
        <v>1046999.5</v>
      </c>
      <c r="J42" s="102"/>
      <c r="K42" s="103"/>
      <c r="L42" s="128" t="s">
        <v>97</v>
      </c>
      <c r="M42" s="462"/>
      <c r="N42" s="462"/>
      <c r="O42" s="84"/>
      <c r="P42" s="39"/>
      <c r="Q42" s="407"/>
      <c r="R42" s="217" t="s">
        <v>97</v>
      </c>
      <c r="S42" s="413" t="s">
        <v>41</v>
      </c>
      <c r="T42" s="266" t="s">
        <v>44</v>
      </c>
      <c r="U42" s="39"/>
      <c r="V42" s="184"/>
      <c r="W42" s="193"/>
      <c r="X42" s="84"/>
      <c r="Y42" s="39"/>
      <c r="Z42" s="40"/>
      <c r="AA42" s="39"/>
      <c r="AB42" s="84"/>
      <c r="AC42" s="39"/>
      <c r="AD42" s="407"/>
      <c r="AE42" s="39"/>
      <c r="AF42" s="184"/>
      <c r="AG42" s="39"/>
      <c r="AH42" s="266" t="s">
        <v>54</v>
      </c>
      <c r="AI42" s="39"/>
      <c r="AJ42" s="184"/>
      <c r="AK42" s="38"/>
      <c r="AL42" s="40"/>
      <c r="AM42" s="39"/>
      <c r="AN42" s="41"/>
      <c r="AO42" s="84"/>
      <c r="AP42" s="39"/>
      <c r="AQ42" s="407"/>
      <c r="AR42" s="39"/>
      <c r="AS42" s="41"/>
      <c r="AT42" s="38"/>
      <c r="AU42" s="40"/>
      <c r="AV42" s="39"/>
      <c r="AW42" s="184"/>
      <c r="AX42" s="38"/>
      <c r="AY42" s="40"/>
      <c r="AZ42" s="39"/>
      <c r="BA42" s="184"/>
      <c r="BB42" s="84"/>
      <c r="BC42" s="39"/>
      <c r="BD42" s="407"/>
      <c r="BE42" s="39"/>
      <c r="BF42" s="184"/>
      <c r="BG42" s="38"/>
      <c r="BH42" s="571" t="s">
        <v>44</v>
      </c>
      <c r="BI42" s="39"/>
      <c r="BJ42" s="41"/>
      <c r="BK42" s="39"/>
      <c r="BL42" s="473" t="s">
        <v>44</v>
      </c>
      <c r="BM42" s="39"/>
      <c r="BN42" s="39"/>
      <c r="BO42" s="562" t="s">
        <v>84</v>
      </c>
      <c r="BP42" s="454" t="s">
        <v>44</v>
      </c>
      <c r="BQ42" s="184"/>
      <c r="BR42" s="184"/>
      <c r="BS42" s="608" t="s">
        <v>126</v>
      </c>
      <c r="BT42" s="381" t="s">
        <v>84</v>
      </c>
      <c r="BU42" s="39"/>
      <c r="BV42" s="39"/>
      <c r="BW42" s="184"/>
      <c r="BX42" s="624" t="s">
        <v>126</v>
      </c>
      <c r="BY42" s="40"/>
      <c r="BZ42" s="39"/>
      <c r="CA42" s="381" t="s">
        <v>85</v>
      </c>
      <c r="CB42" s="184"/>
      <c r="CC42" s="555" t="s">
        <v>54</v>
      </c>
      <c r="CD42" s="40"/>
      <c r="CE42" s="39"/>
      <c r="CF42" s="41"/>
      <c r="CG42" s="39"/>
      <c r="CH42" s="40"/>
      <c r="CI42" s="39"/>
      <c r="CJ42" s="454" t="s">
        <v>125</v>
      </c>
      <c r="CK42" s="38"/>
      <c r="CL42" s="40"/>
      <c r="CM42" s="39"/>
      <c r="CN42" s="39"/>
      <c r="CO42" s="41"/>
      <c r="CP42" s="38"/>
      <c r="CQ42" s="40"/>
      <c r="CR42" s="39"/>
      <c r="CS42" s="184"/>
      <c r="CT42" s="38"/>
      <c r="CU42" s="40"/>
      <c r="CV42" s="39"/>
      <c r="CW42" s="184"/>
      <c r="CX42" s="38"/>
      <c r="CY42" s="40"/>
      <c r="CZ42" s="39"/>
      <c r="DA42" s="39"/>
      <c r="DB42" s="41"/>
      <c r="DC42" s="38"/>
      <c r="DD42" s="40"/>
      <c r="DE42" s="39"/>
      <c r="DF42" s="184"/>
      <c r="DG42" s="38"/>
      <c r="DH42" s="40"/>
      <c r="DI42" s="39"/>
      <c r="DJ42" s="184"/>
      <c r="DK42" s="38"/>
      <c r="DL42" s="40"/>
      <c r="DM42" s="39"/>
      <c r="DN42" s="39"/>
      <c r="DO42" s="41"/>
      <c r="DP42" s="423" t="s">
        <v>350</v>
      </c>
    </row>
    <row r="43" spans="1:120" ht="12.75" customHeight="1" thickBot="1">
      <c r="A43" s="14"/>
      <c r="B43" s="396"/>
      <c r="C43" s="76"/>
      <c r="D43" s="82"/>
      <c r="E43" s="1"/>
      <c r="F43" s="82"/>
      <c r="G43" s="82"/>
      <c r="H43" s="79"/>
      <c r="I43" s="82"/>
      <c r="J43" s="82"/>
      <c r="K43" s="82"/>
      <c r="L43" s="82"/>
      <c r="M43" s="460"/>
      <c r="N43" s="460"/>
      <c r="O43" s="67"/>
      <c r="P43" s="66"/>
      <c r="Q43" s="66"/>
      <c r="R43" s="66"/>
      <c r="S43" s="68"/>
      <c r="T43" s="66"/>
      <c r="U43" s="66"/>
      <c r="V43" s="66"/>
      <c r="W43" s="68"/>
      <c r="X43" s="67"/>
      <c r="Y43" s="66"/>
      <c r="Z43" s="66"/>
      <c r="AA43" s="66"/>
      <c r="AB43" s="67"/>
      <c r="AC43" s="66"/>
      <c r="AD43" s="66"/>
      <c r="AE43" s="66"/>
      <c r="AF43" s="66"/>
      <c r="AG43" s="66"/>
      <c r="AH43" s="66"/>
      <c r="AI43" s="66"/>
      <c r="AJ43" s="66"/>
      <c r="AK43" s="67"/>
      <c r="AL43" s="66"/>
      <c r="AM43" s="66"/>
      <c r="AN43" s="68"/>
      <c r="AO43" s="67"/>
      <c r="AP43" s="66"/>
      <c r="AQ43" s="66"/>
      <c r="AR43" s="66"/>
      <c r="AS43" s="66"/>
      <c r="AT43" s="67"/>
      <c r="AU43" s="66"/>
      <c r="AV43" s="66"/>
      <c r="AW43" s="66"/>
      <c r="AX43" s="67"/>
      <c r="AY43" s="66"/>
      <c r="AZ43" s="66"/>
      <c r="BA43" s="66"/>
      <c r="BB43" s="67"/>
      <c r="BC43" s="66"/>
      <c r="BD43" s="66"/>
      <c r="BE43" s="66"/>
      <c r="BF43" s="66"/>
      <c r="BG43" s="67"/>
      <c r="BH43" s="66"/>
      <c r="BI43" s="66"/>
      <c r="BJ43" s="68"/>
      <c r="BK43" s="66"/>
      <c r="BL43" s="66"/>
      <c r="BM43" s="66"/>
      <c r="BN43" s="66"/>
      <c r="BO43" s="66"/>
      <c r="BP43" s="66"/>
      <c r="BQ43" s="66"/>
      <c r="BR43" s="66"/>
      <c r="BS43" s="66"/>
      <c r="BT43" s="67"/>
      <c r="BU43" s="66"/>
      <c r="BV43" s="66"/>
      <c r="BW43" s="66"/>
      <c r="BX43" s="67"/>
      <c r="BY43" s="66"/>
      <c r="BZ43" s="66"/>
      <c r="CA43" s="66"/>
      <c r="CB43" s="66"/>
      <c r="CC43" s="67"/>
      <c r="CD43" s="66"/>
      <c r="CE43" s="66"/>
      <c r="CF43" s="68"/>
      <c r="CG43" s="66"/>
      <c r="CH43" s="66"/>
      <c r="CI43" s="66"/>
      <c r="CJ43" s="66"/>
      <c r="CK43" s="67"/>
      <c r="CL43" s="66"/>
      <c r="CM43" s="66"/>
      <c r="CN43" s="66"/>
      <c r="CO43" s="66"/>
      <c r="CP43" s="67"/>
      <c r="CQ43" s="66"/>
      <c r="CR43" s="66"/>
      <c r="CS43" s="66"/>
      <c r="CT43" s="67"/>
      <c r="CU43" s="66"/>
      <c r="CV43" s="66"/>
      <c r="CW43" s="66"/>
      <c r="CX43" s="67"/>
      <c r="CY43" s="66"/>
      <c r="CZ43" s="66"/>
      <c r="DA43" s="66"/>
      <c r="DB43" s="66"/>
      <c r="DC43" s="67"/>
      <c r="DD43" s="66"/>
      <c r="DE43" s="66"/>
      <c r="DF43" s="66"/>
      <c r="DG43" s="67"/>
      <c r="DH43" s="66"/>
      <c r="DI43" s="66"/>
      <c r="DJ43" s="66"/>
      <c r="DK43" s="67"/>
      <c r="DL43" s="66"/>
      <c r="DM43" s="66"/>
      <c r="DN43" s="66"/>
      <c r="DO43" s="66"/>
      <c r="DP43" s="16"/>
    </row>
    <row r="44" spans="1:120" ht="12.75" customHeight="1" collapsed="1">
      <c r="A44" s="14"/>
      <c r="B44" s="396"/>
      <c r="C44" s="672" t="s">
        <v>592</v>
      </c>
      <c r="D44" s="673"/>
      <c r="E44" s="664" t="s">
        <v>37</v>
      </c>
      <c r="F44" s="481" t="s">
        <v>207</v>
      </c>
      <c r="G44" s="652" t="s">
        <v>345</v>
      </c>
      <c r="H44" s="274" t="s">
        <v>40</v>
      </c>
      <c r="I44" s="636">
        <f>I52</f>
        <v>0</v>
      </c>
      <c r="J44" s="641">
        <f>J52</f>
        <v>0</v>
      </c>
      <c r="K44" s="631">
        <f>K52</f>
        <v>45753084</v>
      </c>
      <c r="L44" s="639" t="s">
        <v>41</v>
      </c>
      <c r="M44" s="720">
        <v>0.30270000000000002</v>
      </c>
      <c r="N44" s="724">
        <v>0.36</v>
      </c>
      <c r="O44" s="23"/>
      <c r="P44" s="25"/>
      <c r="Q44" s="25"/>
      <c r="R44" s="186" t="s">
        <v>27</v>
      </c>
      <c r="S44" s="455" t="s">
        <v>27</v>
      </c>
      <c r="T44" s="23"/>
      <c r="U44" s="24"/>
      <c r="V44" s="24"/>
      <c r="W44" s="464" t="s">
        <v>86</v>
      </c>
      <c r="X44" s="23"/>
      <c r="Y44" s="25"/>
      <c r="Z44" s="25"/>
      <c r="AA44" s="26"/>
      <c r="AB44" s="23"/>
      <c r="AC44" s="24"/>
      <c r="AD44" s="24"/>
      <c r="AE44" s="24"/>
      <c r="AF44" s="26"/>
      <c r="AG44" s="23"/>
      <c r="AH44" s="24"/>
      <c r="AI44" s="24"/>
      <c r="AJ44" s="293" t="s">
        <v>82</v>
      </c>
      <c r="AK44" s="215" t="s">
        <v>89</v>
      </c>
      <c r="AL44" s="24"/>
      <c r="AM44" s="145" t="s">
        <v>87</v>
      </c>
      <c r="AN44" s="26"/>
      <c r="AO44" s="24"/>
      <c r="AP44" s="24"/>
      <c r="AQ44" s="24"/>
      <c r="AR44" s="24"/>
      <c r="AS44" s="183"/>
      <c r="AT44" s="344" t="s">
        <v>184</v>
      </c>
      <c r="AU44" s="11" t="s">
        <v>90</v>
      </c>
      <c r="AV44" s="58"/>
      <c r="AW44" s="26"/>
      <c r="AX44" s="24"/>
      <c r="AY44" s="25"/>
      <c r="AZ44" s="25"/>
      <c r="BA44" s="183"/>
      <c r="BB44" s="300"/>
      <c r="BC44" s="24"/>
      <c r="BD44" s="164" t="s">
        <v>100</v>
      </c>
      <c r="BE44" s="24"/>
      <c r="BF44" s="27"/>
      <c r="BG44" s="23"/>
      <c r="BH44" s="11" t="s">
        <v>183</v>
      </c>
      <c r="BI44" s="257" t="s">
        <v>100</v>
      </c>
      <c r="BJ44" s="183"/>
      <c r="BK44" s="257" t="s">
        <v>101</v>
      </c>
      <c r="BL44" s="24"/>
      <c r="BM44" s="164" t="s">
        <v>101</v>
      </c>
      <c r="BN44" s="311" t="s">
        <v>101</v>
      </c>
      <c r="BO44" s="339" t="s">
        <v>101</v>
      </c>
      <c r="BP44" s="22" t="s">
        <v>101</v>
      </c>
      <c r="BQ44" s="25"/>
      <c r="BR44" s="339" t="s">
        <v>14</v>
      </c>
      <c r="BS44" s="26"/>
      <c r="BT44" s="23"/>
      <c r="BU44" s="25"/>
      <c r="BV44" s="24"/>
      <c r="BW44" s="183"/>
      <c r="BX44" s="23"/>
      <c r="BY44" s="24"/>
      <c r="BZ44" s="113" t="s">
        <v>30</v>
      </c>
      <c r="CA44" s="24"/>
      <c r="CB44" s="183"/>
      <c r="CC44" s="23"/>
      <c r="CD44" s="12" t="s">
        <v>109</v>
      </c>
      <c r="CE44" s="12" t="s">
        <v>109</v>
      </c>
      <c r="CF44" s="466" t="s">
        <v>109</v>
      </c>
      <c r="CG44" s="13" t="s">
        <v>42</v>
      </c>
      <c r="CH44" s="12" t="s">
        <v>385</v>
      </c>
      <c r="CI44" s="24"/>
      <c r="CJ44" s="183"/>
      <c r="CK44" s="23"/>
      <c r="CL44" s="24"/>
      <c r="CM44" s="24"/>
      <c r="CN44" s="24"/>
      <c r="CO44" s="27"/>
      <c r="CP44" s="23"/>
      <c r="CQ44" s="24"/>
      <c r="CR44" s="24"/>
      <c r="CS44" s="27"/>
      <c r="CT44" s="23"/>
      <c r="CU44" s="24"/>
      <c r="CV44" s="24"/>
      <c r="CW44" s="183"/>
      <c r="CX44" s="23"/>
      <c r="CY44" s="24"/>
      <c r="CZ44" s="24"/>
      <c r="DA44" s="24"/>
      <c r="DB44" s="27"/>
      <c r="DC44" s="23"/>
      <c r="DD44" s="24"/>
      <c r="DE44" s="24"/>
      <c r="DF44" s="27"/>
      <c r="DG44" s="23"/>
      <c r="DH44" s="24"/>
      <c r="DI44" s="24"/>
      <c r="DJ44" s="183"/>
      <c r="DK44" s="23"/>
      <c r="DL44" s="24"/>
      <c r="DM44" s="24"/>
      <c r="DN44" s="24"/>
      <c r="DO44" s="27"/>
      <c r="DP44" s="737" t="s">
        <v>275</v>
      </c>
    </row>
    <row r="45" spans="1:120" ht="12.75" hidden="1" customHeight="1" outlineLevel="1">
      <c r="A45" s="14"/>
      <c r="B45" s="396"/>
      <c r="C45" s="674"/>
      <c r="D45" s="675"/>
      <c r="E45" s="665"/>
      <c r="F45" s="42" t="s">
        <v>186</v>
      </c>
      <c r="G45" s="649"/>
      <c r="H45" s="482" t="s">
        <v>31</v>
      </c>
      <c r="I45" s="635"/>
      <c r="J45" s="642"/>
      <c r="K45" s="632"/>
      <c r="L45" s="630"/>
      <c r="M45" s="629"/>
      <c r="N45" s="628"/>
      <c r="O45" s="129"/>
      <c r="P45" s="129"/>
      <c r="Q45" s="129"/>
      <c r="R45" s="129"/>
      <c r="S45" s="194" t="s">
        <v>264</v>
      </c>
      <c r="T45" s="134"/>
      <c r="U45" s="140" t="s">
        <v>288</v>
      </c>
      <c r="V45" s="32" t="s">
        <v>35</v>
      </c>
      <c r="W45" s="195" t="s">
        <v>32</v>
      </c>
      <c r="X45" s="307" t="s">
        <v>306</v>
      </c>
      <c r="Y45" s="129"/>
      <c r="Z45" s="157" t="s">
        <v>269</v>
      </c>
      <c r="AA45" s="143" t="s">
        <v>305</v>
      </c>
      <c r="AB45" s="34"/>
      <c r="AC45" s="129"/>
      <c r="AD45" s="207" t="s">
        <v>305</v>
      </c>
      <c r="AE45" s="207" t="s">
        <v>305</v>
      </c>
      <c r="AF45" s="201" t="s">
        <v>305</v>
      </c>
      <c r="AG45" s="270" t="s">
        <v>206</v>
      </c>
      <c r="AH45" s="35"/>
      <c r="AI45" s="35"/>
      <c r="AJ45" s="140" t="s">
        <v>251</v>
      </c>
      <c r="AK45" s="36" t="s">
        <v>102</v>
      </c>
      <c r="AL45" s="129"/>
      <c r="AM45" s="140" t="s">
        <v>378</v>
      </c>
      <c r="AN45" s="150" t="s">
        <v>111</v>
      </c>
      <c r="AO45" s="140" t="s">
        <v>398</v>
      </c>
      <c r="AP45" s="140" t="s">
        <v>410</v>
      </c>
      <c r="AQ45" s="129"/>
      <c r="AR45" s="409" t="s">
        <v>274</v>
      </c>
      <c r="AS45" s="270" t="s">
        <v>423</v>
      </c>
      <c r="AT45" s="134"/>
      <c r="AU45" s="162"/>
      <c r="AV45" s="176"/>
      <c r="AW45" s="37"/>
      <c r="AX45" s="134"/>
      <c r="AY45" s="522" t="s">
        <v>92</v>
      </c>
      <c r="AZ45" s="157" t="s">
        <v>457</v>
      </c>
      <c r="BA45" s="270" t="s">
        <v>417</v>
      </c>
      <c r="BB45" s="36" t="s">
        <v>102</v>
      </c>
      <c r="BC45" s="35"/>
      <c r="BD45" s="129"/>
      <c r="BE45" s="162"/>
      <c r="BF45" s="324"/>
      <c r="BG45" s="129"/>
      <c r="BH45" s="162"/>
      <c r="BI45" s="301"/>
      <c r="BJ45" s="195" t="s">
        <v>102</v>
      </c>
      <c r="BK45" s="295"/>
      <c r="BL45" s="129"/>
      <c r="BM45" s="129"/>
      <c r="BN45" s="129"/>
      <c r="BO45" s="475" t="s">
        <v>102</v>
      </c>
      <c r="BP45" s="133" t="s">
        <v>117</v>
      </c>
      <c r="BQ45" s="475" t="s">
        <v>92</v>
      </c>
      <c r="BR45" s="129"/>
      <c r="BS45" s="142"/>
      <c r="BT45" s="295"/>
      <c r="BU45" s="148" t="s">
        <v>203</v>
      </c>
      <c r="BV45" s="148" t="s">
        <v>110</v>
      </c>
      <c r="BW45" s="212" t="s">
        <v>138</v>
      </c>
      <c r="BX45" s="130"/>
      <c r="BY45" s="80"/>
      <c r="BZ45" s="372"/>
      <c r="CA45" s="372"/>
      <c r="CB45" s="532"/>
      <c r="CC45" s="34"/>
      <c r="CD45" s="129"/>
      <c r="CE45" s="129"/>
      <c r="CF45" s="142"/>
      <c r="CG45" s="35"/>
      <c r="CH45" s="129"/>
      <c r="CI45" s="129"/>
      <c r="CJ45" s="203"/>
      <c r="CK45" s="130"/>
      <c r="CL45" s="80"/>
      <c r="CM45" s="372"/>
      <c r="CN45" s="372"/>
      <c r="CO45" s="441"/>
      <c r="CP45" s="34"/>
      <c r="CQ45" s="129"/>
      <c r="CR45" s="129"/>
      <c r="CS45" s="203"/>
      <c r="CT45" s="34"/>
      <c r="CU45" s="129"/>
      <c r="CV45" s="129"/>
      <c r="CW45" s="203"/>
      <c r="CX45" s="130"/>
      <c r="CY45" s="80"/>
      <c r="CZ45" s="372"/>
      <c r="DA45" s="372"/>
      <c r="DB45" s="441"/>
      <c r="DC45" s="34"/>
      <c r="DD45" s="129"/>
      <c r="DE45" s="129"/>
      <c r="DF45" s="203"/>
      <c r="DG45" s="34"/>
      <c r="DH45" s="129"/>
      <c r="DI45" s="129"/>
      <c r="DJ45" s="203"/>
      <c r="DK45" s="130"/>
      <c r="DL45" s="80"/>
      <c r="DM45" s="372"/>
      <c r="DN45" s="372"/>
      <c r="DO45" s="441"/>
      <c r="DP45" s="738"/>
    </row>
    <row r="46" spans="1:120" ht="12.75" hidden="1" customHeight="1" outlineLevel="1" thickBot="1">
      <c r="A46" s="14"/>
      <c r="B46" s="396"/>
      <c r="C46" s="674"/>
      <c r="D46" s="675"/>
      <c r="E46" s="665"/>
      <c r="F46" s="357" t="s">
        <v>390</v>
      </c>
      <c r="G46" s="649"/>
      <c r="H46" s="483" t="s">
        <v>66</v>
      </c>
      <c r="I46" s="635"/>
      <c r="J46" s="642"/>
      <c r="K46" s="632"/>
      <c r="L46" s="630"/>
      <c r="M46" s="629"/>
      <c r="N46" s="628"/>
      <c r="O46" s="149" t="s">
        <v>256</v>
      </c>
      <c r="P46" s="140" t="s">
        <v>253</v>
      </c>
      <c r="Q46" s="140" t="s">
        <v>255</v>
      </c>
      <c r="R46" s="328"/>
      <c r="S46" s="361" t="s">
        <v>265</v>
      </c>
      <c r="T46" s="125" t="s">
        <v>193</v>
      </c>
      <c r="U46" s="32" t="s">
        <v>76</v>
      </c>
      <c r="V46" s="140" t="s">
        <v>289</v>
      </c>
      <c r="W46" s="199" t="s">
        <v>64</v>
      </c>
      <c r="X46" s="46"/>
      <c r="Y46" s="47"/>
      <c r="Z46" s="47"/>
      <c r="AA46" s="48"/>
      <c r="AB46" s="46"/>
      <c r="AC46" s="138"/>
      <c r="AD46" s="138"/>
      <c r="AE46" s="262" t="s">
        <v>65</v>
      </c>
      <c r="AF46" s="140" t="s">
        <v>338</v>
      </c>
      <c r="AG46" s="350" t="s">
        <v>190</v>
      </c>
      <c r="AH46" s="321"/>
      <c r="AI46" s="270" t="s">
        <v>190</v>
      </c>
      <c r="AJ46" s="196" t="s">
        <v>192</v>
      </c>
      <c r="AK46" s="46"/>
      <c r="AL46" s="138"/>
      <c r="AM46" s="138"/>
      <c r="AN46" s="355" t="s">
        <v>52</v>
      </c>
      <c r="AO46" s="155" t="s">
        <v>259</v>
      </c>
      <c r="AP46" s="138"/>
      <c r="AQ46" s="138"/>
      <c r="AR46" s="384" t="s">
        <v>52</v>
      </c>
      <c r="AS46" s="270" t="s">
        <v>233</v>
      </c>
      <c r="AT46" s="46"/>
      <c r="AU46" s="307" t="s">
        <v>192</v>
      </c>
      <c r="AV46" s="157" t="s">
        <v>259</v>
      </c>
      <c r="AW46" s="226" t="s">
        <v>261</v>
      </c>
      <c r="AX46" s="264" t="s">
        <v>96</v>
      </c>
      <c r="AY46" s="138"/>
      <c r="AZ46" s="201" t="s">
        <v>258</v>
      </c>
      <c r="BA46" s="321"/>
      <c r="BB46" s="264" t="s">
        <v>254</v>
      </c>
      <c r="BC46" s="427" t="s">
        <v>122</v>
      </c>
      <c r="BD46" s="138"/>
      <c r="BE46" s="177"/>
      <c r="BF46" s="190"/>
      <c r="BG46" s="47"/>
      <c r="BH46" s="138"/>
      <c r="BI46" s="47"/>
      <c r="BJ46" s="48"/>
      <c r="BK46" s="177"/>
      <c r="BL46" s="427" t="s">
        <v>122</v>
      </c>
      <c r="BM46" s="47"/>
      <c r="BN46" s="47"/>
      <c r="BO46" s="177"/>
      <c r="BP46" s="46"/>
      <c r="BQ46" s="90" t="s">
        <v>122</v>
      </c>
      <c r="BR46" s="47"/>
      <c r="BS46" s="48"/>
      <c r="BT46" s="46"/>
      <c r="BU46" s="47"/>
      <c r="BV46" s="148" t="s">
        <v>119</v>
      </c>
      <c r="BW46" s="177"/>
      <c r="BX46" s="46"/>
      <c r="BY46" s="47"/>
      <c r="BZ46" s="47"/>
      <c r="CA46" s="47"/>
      <c r="CB46" s="177"/>
      <c r="CC46" s="46"/>
      <c r="CD46" s="47"/>
      <c r="CE46" s="47"/>
      <c r="CF46" s="48"/>
      <c r="CG46" s="47"/>
      <c r="CH46" s="47"/>
      <c r="CI46" s="47"/>
      <c r="CJ46" s="177"/>
      <c r="CK46" s="46"/>
      <c r="CL46" s="47"/>
      <c r="CM46" s="47"/>
      <c r="CN46" s="47"/>
      <c r="CO46" s="48"/>
      <c r="CP46" s="46"/>
      <c r="CQ46" s="47"/>
      <c r="CR46" s="47"/>
      <c r="CS46" s="177"/>
      <c r="CT46" s="46"/>
      <c r="CU46" s="47"/>
      <c r="CV46" s="47"/>
      <c r="CW46" s="177"/>
      <c r="CX46" s="46"/>
      <c r="CY46" s="47"/>
      <c r="CZ46" s="47"/>
      <c r="DA46" s="47"/>
      <c r="DB46" s="48"/>
      <c r="DC46" s="46"/>
      <c r="DD46" s="47"/>
      <c r="DE46" s="47"/>
      <c r="DF46" s="177"/>
      <c r="DG46" s="46"/>
      <c r="DH46" s="47"/>
      <c r="DI46" s="47"/>
      <c r="DJ46" s="177"/>
      <c r="DK46" s="46"/>
      <c r="DL46" s="47"/>
      <c r="DM46" s="47"/>
      <c r="DN46" s="47"/>
      <c r="DO46" s="48"/>
      <c r="DP46" s="738"/>
    </row>
    <row r="47" spans="1:120" ht="12.75" hidden="1" customHeight="1" outlineLevel="1" thickBot="1">
      <c r="A47" s="14"/>
      <c r="B47" s="396"/>
      <c r="C47" s="674"/>
      <c r="D47" s="675"/>
      <c r="E47" s="665"/>
      <c r="F47" s="357" t="s">
        <v>391</v>
      </c>
      <c r="G47" s="649"/>
      <c r="H47" s="483" t="s">
        <v>66</v>
      </c>
      <c r="I47" s="635"/>
      <c r="J47" s="642"/>
      <c r="K47" s="632"/>
      <c r="L47" s="630"/>
      <c r="M47" s="629"/>
      <c r="N47" s="628"/>
      <c r="O47" s="327"/>
      <c r="P47" s="328"/>
      <c r="Q47" s="328"/>
      <c r="R47" s="330"/>
      <c r="S47" s="329"/>
      <c r="T47" s="125" t="s">
        <v>108</v>
      </c>
      <c r="U47" s="328"/>
      <c r="V47" s="328"/>
      <c r="W47" s="286"/>
      <c r="X47" s="327"/>
      <c r="Y47" s="188" t="s">
        <v>145</v>
      </c>
      <c r="Z47" s="47"/>
      <c r="AA47" s="329"/>
      <c r="AB47" s="46"/>
      <c r="AC47" s="328"/>
      <c r="AD47" s="177"/>
      <c r="AE47" s="262" t="s">
        <v>145</v>
      </c>
      <c r="AF47" s="417" t="s">
        <v>192</v>
      </c>
      <c r="AG47" s="478" t="s">
        <v>268</v>
      </c>
      <c r="AH47" s="270" t="s">
        <v>268</v>
      </c>
      <c r="AI47" s="328"/>
      <c r="AJ47" s="355" t="s">
        <v>192</v>
      </c>
      <c r="AK47" s="327"/>
      <c r="AL47" s="328"/>
      <c r="AM47" s="32" t="s">
        <v>64</v>
      </c>
      <c r="AN47" s="329"/>
      <c r="AO47" s="141" t="s">
        <v>260</v>
      </c>
      <c r="AP47" s="331"/>
      <c r="AQ47" s="331"/>
      <c r="AR47" s="330"/>
      <c r="AS47" s="330"/>
      <c r="AT47" s="327"/>
      <c r="AU47" s="384" t="s">
        <v>192</v>
      </c>
      <c r="AV47" s="194" t="s">
        <v>260</v>
      </c>
      <c r="AW47" s="329"/>
      <c r="AX47" s="264" t="s">
        <v>96</v>
      </c>
      <c r="AY47" s="272" t="s">
        <v>52</v>
      </c>
      <c r="AZ47" s="328"/>
      <c r="BA47" s="220" t="s">
        <v>233</v>
      </c>
      <c r="BB47" s="149" t="s">
        <v>254</v>
      </c>
      <c r="BC47" s="427" t="s">
        <v>122</v>
      </c>
      <c r="BD47" s="331"/>
      <c r="BE47" s="330"/>
      <c r="BF47" s="286"/>
      <c r="BG47" s="328"/>
      <c r="BH47" s="268" t="s">
        <v>52</v>
      </c>
      <c r="BI47" s="328"/>
      <c r="BJ47" s="201" t="s">
        <v>233</v>
      </c>
      <c r="BK47" s="327"/>
      <c r="BL47" s="427" t="s">
        <v>122</v>
      </c>
      <c r="BM47" s="328"/>
      <c r="BN47" s="290"/>
      <c r="BO47" s="177"/>
      <c r="BP47" s="46"/>
      <c r="BQ47" s="90" t="s">
        <v>122</v>
      </c>
      <c r="BR47" s="47"/>
      <c r="BS47" s="48"/>
      <c r="BT47" s="46"/>
      <c r="BU47" s="47"/>
      <c r="BV47" s="148" t="s">
        <v>119</v>
      </c>
      <c r="BW47" s="177"/>
      <c r="BX47" s="46"/>
      <c r="BY47" s="47"/>
      <c r="BZ47" s="47"/>
      <c r="CA47" s="47"/>
      <c r="CB47" s="177"/>
      <c r="CC47" s="46"/>
      <c r="CD47" s="138"/>
      <c r="CE47" s="47"/>
      <c r="CF47" s="48"/>
      <c r="CG47" s="47"/>
      <c r="CH47" s="138"/>
      <c r="CI47" s="47"/>
      <c r="CJ47" s="177"/>
      <c r="CK47" s="46"/>
      <c r="CL47" s="47"/>
      <c r="CM47" s="47"/>
      <c r="CN47" s="47"/>
      <c r="CO47" s="48"/>
      <c r="CP47" s="46"/>
      <c r="CQ47" s="138"/>
      <c r="CR47" s="47"/>
      <c r="CS47" s="177"/>
      <c r="CT47" s="46"/>
      <c r="CU47" s="138"/>
      <c r="CV47" s="47"/>
      <c r="CW47" s="177"/>
      <c r="CX47" s="46"/>
      <c r="CY47" s="47"/>
      <c r="CZ47" s="47"/>
      <c r="DA47" s="47"/>
      <c r="DB47" s="48"/>
      <c r="DC47" s="46"/>
      <c r="DD47" s="138"/>
      <c r="DE47" s="47"/>
      <c r="DF47" s="177"/>
      <c r="DG47" s="46"/>
      <c r="DH47" s="138"/>
      <c r="DI47" s="47"/>
      <c r="DJ47" s="177"/>
      <c r="DK47" s="46"/>
      <c r="DL47" s="47"/>
      <c r="DM47" s="47"/>
      <c r="DN47" s="47"/>
      <c r="DO47" s="48"/>
      <c r="DP47" s="738"/>
    </row>
    <row r="48" spans="1:120" ht="12.75" hidden="1" customHeight="1" outlineLevel="1" thickBot="1">
      <c r="A48" s="14"/>
      <c r="B48" s="396"/>
      <c r="C48" s="674"/>
      <c r="D48" s="675"/>
      <c r="E48" s="665"/>
      <c r="F48" s="357"/>
      <c r="G48" s="498"/>
      <c r="H48" s="483" t="s">
        <v>534</v>
      </c>
      <c r="I48" s="635"/>
      <c r="J48" s="642"/>
      <c r="K48" s="632"/>
      <c r="L48" s="630"/>
      <c r="M48" s="629"/>
      <c r="N48" s="628"/>
      <c r="O48" s="327"/>
      <c r="P48" s="328"/>
      <c r="Q48" s="328"/>
      <c r="R48" s="330"/>
      <c r="S48" s="329"/>
      <c r="T48" s="327"/>
      <c r="U48" s="328"/>
      <c r="V48" s="330"/>
      <c r="W48" s="330"/>
      <c r="X48" s="327"/>
      <c r="Y48" s="417"/>
      <c r="Z48" s="328"/>
      <c r="AA48" s="330"/>
      <c r="AB48" s="327"/>
      <c r="AC48" s="328"/>
      <c r="AD48" s="330"/>
      <c r="AE48" s="330"/>
      <c r="AF48" s="417"/>
      <c r="AG48" s="478"/>
      <c r="AH48" s="304"/>
      <c r="AI48" s="328"/>
      <c r="AJ48" s="355"/>
      <c r="AK48" s="327"/>
      <c r="AL48" s="328"/>
      <c r="AM48" s="328"/>
      <c r="AN48" s="329"/>
      <c r="AO48" s="408"/>
      <c r="AP48" s="331"/>
      <c r="AQ48" s="331"/>
      <c r="AR48" s="330"/>
      <c r="AS48" s="330"/>
      <c r="AT48" s="327"/>
      <c r="AU48" s="330"/>
      <c r="AV48" s="304"/>
      <c r="AW48" s="329"/>
      <c r="AX48" s="332"/>
      <c r="AY48" s="427"/>
      <c r="AZ48" s="328"/>
      <c r="BA48" s="408"/>
      <c r="BB48" s="332"/>
      <c r="BC48" s="427"/>
      <c r="BD48" s="331"/>
      <c r="BE48" s="330"/>
      <c r="BF48" s="190"/>
      <c r="BG48" s="272" t="s">
        <v>64</v>
      </c>
      <c r="BH48" s="331"/>
      <c r="BI48" s="408" t="s">
        <v>539</v>
      </c>
      <c r="BJ48" s="304"/>
      <c r="BK48" s="327"/>
      <c r="BL48" s="418"/>
      <c r="BM48" s="328"/>
      <c r="BN48" s="290"/>
      <c r="BO48" s="223"/>
      <c r="BP48" s="327"/>
      <c r="BQ48" s="331"/>
      <c r="BR48" s="290"/>
      <c r="BS48" s="329"/>
      <c r="BT48" s="327"/>
      <c r="BU48" s="328"/>
      <c r="BV48" s="331"/>
      <c r="BW48" s="330"/>
      <c r="BX48" s="327"/>
      <c r="BY48" s="330"/>
      <c r="BZ48" s="328"/>
      <c r="CA48" s="328"/>
      <c r="CB48" s="330"/>
      <c r="CC48" s="327"/>
      <c r="CD48" s="331"/>
      <c r="CE48" s="328"/>
      <c r="CF48" s="329"/>
      <c r="CG48" s="328"/>
      <c r="CH48" s="331"/>
      <c r="CI48" s="328"/>
      <c r="CJ48" s="330"/>
      <c r="CK48" s="327"/>
      <c r="CL48" s="328"/>
      <c r="CM48" s="328"/>
      <c r="CN48" s="328"/>
      <c r="CO48" s="329"/>
      <c r="CP48" s="327"/>
      <c r="CQ48" s="331"/>
      <c r="CR48" s="328"/>
      <c r="CS48" s="330"/>
      <c r="CT48" s="327"/>
      <c r="CU48" s="331"/>
      <c r="CV48" s="328"/>
      <c r="CW48" s="330"/>
      <c r="CX48" s="327"/>
      <c r="CY48" s="328"/>
      <c r="CZ48" s="328"/>
      <c r="DA48" s="328"/>
      <c r="DB48" s="329"/>
      <c r="DC48" s="327"/>
      <c r="DD48" s="331"/>
      <c r="DE48" s="328"/>
      <c r="DF48" s="330"/>
      <c r="DG48" s="327"/>
      <c r="DH48" s="331"/>
      <c r="DI48" s="328"/>
      <c r="DJ48" s="330"/>
      <c r="DK48" s="327"/>
      <c r="DL48" s="328"/>
      <c r="DM48" s="328"/>
      <c r="DN48" s="328"/>
      <c r="DO48" s="329"/>
      <c r="DP48" s="738"/>
    </row>
    <row r="49" spans="1:120" ht="12.75" hidden="1" customHeight="1" outlineLevel="1">
      <c r="A49" s="14"/>
      <c r="B49" s="396"/>
      <c r="C49" s="674"/>
      <c r="D49" s="675"/>
      <c r="E49" s="665"/>
      <c r="F49" s="225" t="s">
        <v>0</v>
      </c>
      <c r="G49" s="649" t="str">
        <f>G44</f>
        <v>Setting phase</v>
      </c>
      <c r="H49" s="484" t="s">
        <v>129</v>
      </c>
      <c r="I49" s="635"/>
      <c r="J49" s="642"/>
      <c r="K49" s="632"/>
      <c r="L49" s="630"/>
      <c r="M49" s="629"/>
      <c r="N49" s="628"/>
      <c r="O49" s="218"/>
      <c r="P49" s="242"/>
      <c r="Q49" s="242"/>
      <c r="R49" s="242"/>
      <c r="S49" s="244"/>
      <c r="T49" s="218"/>
      <c r="U49" s="242"/>
      <c r="V49" s="245"/>
      <c r="W49" s="276" t="s">
        <v>290</v>
      </c>
      <c r="X49" s="218"/>
      <c r="Y49" s="242"/>
      <c r="Z49" s="242"/>
      <c r="AA49" s="242"/>
      <c r="AB49" s="218"/>
      <c r="AC49" s="242"/>
      <c r="AD49" s="242"/>
      <c r="AE49" s="242"/>
      <c r="AF49" s="382" t="s">
        <v>337</v>
      </c>
      <c r="AG49" s="218"/>
      <c r="AH49" s="282" t="s">
        <v>355</v>
      </c>
      <c r="AI49" s="242"/>
      <c r="AJ49" s="246"/>
      <c r="AK49" s="216" t="s">
        <v>89</v>
      </c>
      <c r="AL49" s="282" t="s">
        <v>373</v>
      </c>
      <c r="AM49" s="273" t="s">
        <v>364</v>
      </c>
      <c r="AN49" s="246"/>
      <c r="AO49" s="282" t="s">
        <v>386</v>
      </c>
      <c r="AP49" s="242"/>
      <c r="AQ49" s="251"/>
      <c r="AR49" s="251"/>
      <c r="AS49" s="382" t="s">
        <v>418</v>
      </c>
      <c r="AT49" s="216" t="s">
        <v>184</v>
      </c>
      <c r="AU49" s="276" t="s">
        <v>481</v>
      </c>
      <c r="AV49" s="242"/>
      <c r="AW49" s="246"/>
      <c r="AX49" s="218"/>
      <c r="AY49" s="242"/>
      <c r="AZ49" s="282" t="s">
        <v>475</v>
      </c>
      <c r="BA49" s="245"/>
      <c r="BB49" s="351" t="s">
        <v>500</v>
      </c>
      <c r="BC49" s="242"/>
      <c r="BD49" s="348" t="s">
        <v>526</v>
      </c>
      <c r="BE49" s="251"/>
      <c r="BF49" s="288" t="s">
        <v>387</v>
      </c>
      <c r="BG49" s="282" t="s">
        <v>549</v>
      </c>
      <c r="BH49" s="276" t="s">
        <v>500</v>
      </c>
      <c r="BI49" s="276" t="s">
        <v>561</v>
      </c>
      <c r="BJ49" s="308" t="s">
        <v>564</v>
      </c>
      <c r="BK49" s="275" t="s">
        <v>501</v>
      </c>
      <c r="BL49" s="313" t="s">
        <v>128</v>
      </c>
      <c r="BM49" s="326" t="s">
        <v>583</v>
      </c>
      <c r="BN49" s="529" t="s">
        <v>569</v>
      </c>
      <c r="BO49" s="453" t="s">
        <v>511</v>
      </c>
      <c r="BP49" s="536" t="s">
        <v>124</v>
      </c>
      <c r="BQ49" s="210" t="s">
        <v>570</v>
      </c>
      <c r="BR49" s="90" t="s">
        <v>14</v>
      </c>
      <c r="BS49" s="246"/>
      <c r="BT49" s="218"/>
      <c r="BU49" s="242"/>
      <c r="BV49" s="242"/>
      <c r="BW49" s="245"/>
      <c r="BX49" s="218"/>
      <c r="BY49" s="245"/>
      <c r="BZ49" s="550" t="s">
        <v>30</v>
      </c>
      <c r="CA49" s="242"/>
      <c r="CB49" s="245"/>
      <c r="CC49" s="218"/>
      <c r="CD49" s="242"/>
      <c r="CE49" s="242"/>
      <c r="CF49" s="246"/>
      <c r="CG49" s="242"/>
      <c r="CH49" s="242"/>
      <c r="CI49" s="242"/>
      <c r="CJ49" s="245"/>
      <c r="CK49" s="218"/>
      <c r="CL49" s="242"/>
      <c r="CM49" s="242"/>
      <c r="CN49" s="242"/>
      <c r="CO49" s="373"/>
      <c r="CP49" s="218"/>
      <c r="CQ49" s="242"/>
      <c r="CR49" s="242"/>
      <c r="CS49" s="245"/>
      <c r="CT49" s="218"/>
      <c r="CU49" s="242"/>
      <c r="CV49" s="242"/>
      <c r="CW49" s="245"/>
      <c r="CX49" s="218"/>
      <c r="CY49" s="242"/>
      <c r="CZ49" s="242"/>
      <c r="DA49" s="242"/>
      <c r="DB49" s="373"/>
      <c r="DC49" s="218"/>
      <c r="DD49" s="242"/>
      <c r="DE49" s="242"/>
      <c r="DF49" s="245"/>
      <c r="DG49" s="218"/>
      <c r="DH49" s="242"/>
      <c r="DI49" s="242"/>
      <c r="DJ49" s="245"/>
      <c r="DK49" s="218"/>
      <c r="DL49" s="242"/>
      <c r="DM49" s="242"/>
      <c r="DN49" s="242"/>
      <c r="DO49" s="373"/>
      <c r="DP49" s="738"/>
    </row>
    <row r="50" spans="1:120" ht="12.75" hidden="1" customHeight="1" outlineLevel="1">
      <c r="A50" s="14"/>
      <c r="B50" s="396"/>
      <c r="C50" s="674"/>
      <c r="D50" s="675"/>
      <c r="E50" s="665"/>
      <c r="F50" s="225" t="s">
        <v>0</v>
      </c>
      <c r="G50" s="649"/>
      <c r="H50" s="484" t="s">
        <v>130</v>
      </c>
      <c r="I50" s="635"/>
      <c r="J50" s="642"/>
      <c r="K50" s="632"/>
      <c r="L50" s="630"/>
      <c r="M50" s="629"/>
      <c r="N50" s="628"/>
      <c r="O50" s="278"/>
      <c r="P50" s="279"/>
      <c r="Q50" s="279"/>
      <c r="R50" s="64"/>
      <c r="S50" s="144"/>
      <c r="T50" s="132" t="s">
        <v>121</v>
      </c>
      <c r="U50" s="72"/>
      <c r="V50" s="346" t="s">
        <v>162</v>
      </c>
      <c r="W50" s="437"/>
      <c r="X50" s="278"/>
      <c r="Y50" s="437">
        <v>0.31</v>
      </c>
      <c r="Z50" s="474" t="s">
        <v>162</v>
      </c>
      <c r="AA50" s="277"/>
      <c r="AB50" s="278"/>
      <c r="AC50" s="279"/>
      <c r="AD50" s="279"/>
      <c r="AE50" s="337" t="s">
        <v>171</v>
      </c>
      <c r="AF50" s="437">
        <v>0.31</v>
      </c>
      <c r="AG50" s="278"/>
      <c r="AH50" s="279"/>
      <c r="AI50" s="346" t="s">
        <v>171</v>
      </c>
      <c r="AJ50" s="437">
        <v>0.36</v>
      </c>
      <c r="AK50" s="278"/>
      <c r="AL50" s="437">
        <v>0.36</v>
      </c>
      <c r="AM50" s="474" t="s">
        <v>171</v>
      </c>
      <c r="AN50" s="277"/>
      <c r="AO50" s="279"/>
      <c r="AP50" s="279"/>
      <c r="AQ50" s="279"/>
      <c r="AR50" s="519" t="s">
        <v>171</v>
      </c>
      <c r="AS50" s="437">
        <v>0.36</v>
      </c>
      <c r="AT50" s="146"/>
      <c r="AU50" s="72"/>
      <c r="AV50" s="519" t="s">
        <v>171</v>
      </c>
      <c r="AW50" s="277"/>
      <c r="AX50" s="72"/>
      <c r="AY50" s="72"/>
      <c r="AZ50" s="519" t="s">
        <v>171</v>
      </c>
      <c r="BA50" s="247"/>
      <c r="BB50" s="278"/>
      <c r="BC50" s="279"/>
      <c r="BD50" s="279"/>
      <c r="BE50" s="568" t="s">
        <v>191</v>
      </c>
      <c r="BF50" s="277"/>
      <c r="BG50" s="72"/>
      <c r="BH50" s="72"/>
      <c r="BI50" s="568" t="s">
        <v>191</v>
      </c>
      <c r="BJ50" s="277"/>
      <c r="BK50" s="146"/>
      <c r="BL50" s="72"/>
      <c r="BM50" s="338"/>
      <c r="BN50" s="568" t="s">
        <v>191</v>
      </c>
      <c r="BO50" s="249"/>
      <c r="BP50" s="154"/>
      <c r="BQ50" s="153"/>
      <c r="BR50" s="368"/>
      <c r="BS50" s="277"/>
      <c r="BT50" s="146"/>
      <c r="BU50" s="72"/>
      <c r="BV50" s="338"/>
      <c r="BW50" s="322"/>
      <c r="BX50" s="278"/>
      <c r="BY50" s="279"/>
      <c r="BZ50" s="279"/>
      <c r="CA50" s="279"/>
      <c r="CB50" s="617"/>
      <c r="CC50" s="146"/>
      <c r="CD50" s="72"/>
      <c r="CE50" s="338"/>
      <c r="CF50" s="277"/>
      <c r="CG50" s="72"/>
      <c r="CH50" s="72"/>
      <c r="CI50" s="338"/>
      <c r="CJ50" s="322"/>
      <c r="CK50" s="278"/>
      <c r="CL50" s="279"/>
      <c r="CM50" s="279"/>
      <c r="CN50" s="279"/>
      <c r="CO50" s="374"/>
      <c r="CP50" s="146"/>
      <c r="CQ50" s="72"/>
      <c r="CR50" s="338"/>
      <c r="CS50" s="322"/>
      <c r="CT50" s="146"/>
      <c r="CU50" s="72"/>
      <c r="CV50" s="338"/>
      <c r="CW50" s="322"/>
      <c r="CX50" s="278"/>
      <c r="CY50" s="279"/>
      <c r="CZ50" s="279"/>
      <c r="DA50" s="279"/>
      <c r="DB50" s="374"/>
      <c r="DC50" s="146"/>
      <c r="DD50" s="72"/>
      <c r="DE50" s="338"/>
      <c r="DF50" s="322"/>
      <c r="DG50" s="146"/>
      <c r="DH50" s="72"/>
      <c r="DI50" s="338"/>
      <c r="DJ50" s="322"/>
      <c r="DK50" s="278"/>
      <c r="DL50" s="279"/>
      <c r="DM50" s="279"/>
      <c r="DN50" s="279"/>
      <c r="DO50" s="374"/>
      <c r="DP50" s="739"/>
    </row>
    <row r="51" spans="1:120" ht="12.75" hidden="1" customHeight="1" outlineLevel="1" thickBot="1">
      <c r="A51" s="14"/>
      <c r="B51" s="396"/>
      <c r="C51" s="674"/>
      <c r="D51" s="675"/>
      <c r="E51" s="665"/>
      <c r="F51" s="225" t="s">
        <v>0</v>
      </c>
      <c r="G51" s="496"/>
      <c r="H51" s="484" t="s">
        <v>157</v>
      </c>
      <c r="I51" s="635"/>
      <c r="J51" s="642"/>
      <c r="K51" s="632"/>
      <c r="L51" s="630"/>
      <c r="M51" s="629"/>
      <c r="N51" s="628"/>
      <c r="O51" s="154"/>
      <c r="P51" s="153"/>
      <c r="Q51" s="153"/>
      <c r="R51" s="200"/>
      <c r="S51" s="248"/>
      <c r="T51" s="154"/>
      <c r="U51" s="153"/>
      <c r="V51" s="249"/>
      <c r="W51" s="248"/>
      <c r="X51" s="154"/>
      <c r="Y51" s="153"/>
      <c r="Z51" s="153"/>
      <c r="AA51" s="153"/>
      <c r="AB51" s="154"/>
      <c r="AC51" s="153"/>
      <c r="AD51" s="153"/>
      <c r="AE51" s="249"/>
      <c r="AF51" s="310"/>
      <c r="AG51" s="154"/>
      <c r="AH51" s="153"/>
      <c r="AI51" s="153"/>
      <c r="AJ51" s="250"/>
      <c r="AK51" s="146"/>
      <c r="AL51" s="153"/>
      <c r="AM51" s="153"/>
      <c r="AN51" s="250"/>
      <c r="AO51" s="72"/>
      <c r="AP51" s="153"/>
      <c r="AQ51" s="153"/>
      <c r="AR51" s="153"/>
      <c r="AS51" s="249"/>
      <c r="AT51" s="154"/>
      <c r="AU51" s="153"/>
      <c r="AV51" s="153"/>
      <c r="AW51" s="250"/>
      <c r="AX51" s="153"/>
      <c r="AY51" s="153"/>
      <c r="AZ51" s="72"/>
      <c r="BA51" s="247"/>
      <c r="BB51" s="146"/>
      <c r="BC51" s="153"/>
      <c r="BD51" s="153"/>
      <c r="BE51" s="153"/>
      <c r="BF51" s="250"/>
      <c r="BG51" s="153"/>
      <c r="BH51" s="153"/>
      <c r="BI51" s="153"/>
      <c r="BJ51" s="314" t="s">
        <v>160</v>
      </c>
      <c r="BK51" s="154"/>
      <c r="BL51" s="72"/>
      <c r="BM51" s="72"/>
      <c r="BN51" s="72"/>
      <c r="BO51" s="347" t="s">
        <v>73</v>
      </c>
      <c r="BP51" s="154"/>
      <c r="BQ51" s="153"/>
      <c r="BR51" s="153"/>
      <c r="BS51" s="250"/>
      <c r="BT51" s="154"/>
      <c r="BU51" s="153"/>
      <c r="BV51" s="153"/>
      <c r="BW51" s="319" t="s">
        <v>73</v>
      </c>
      <c r="BX51" s="613" t="s">
        <v>252</v>
      </c>
      <c r="BY51" s="153"/>
      <c r="BZ51" s="153"/>
      <c r="CA51" s="153"/>
      <c r="CB51" s="249"/>
      <c r="CC51" s="154"/>
      <c r="CD51" s="153"/>
      <c r="CE51" s="153"/>
      <c r="CF51" s="250"/>
      <c r="CG51" s="153"/>
      <c r="CH51" s="153"/>
      <c r="CI51" s="153"/>
      <c r="CJ51" s="249"/>
      <c r="CK51" s="146"/>
      <c r="CL51" s="153"/>
      <c r="CM51" s="153"/>
      <c r="CN51" s="153"/>
      <c r="CO51" s="250"/>
      <c r="CP51" s="154"/>
      <c r="CQ51" s="153"/>
      <c r="CR51" s="153"/>
      <c r="CS51" s="249"/>
      <c r="CT51" s="154"/>
      <c r="CU51" s="153"/>
      <c r="CV51" s="153"/>
      <c r="CW51" s="249"/>
      <c r="CX51" s="146"/>
      <c r="CY51" s="153"/>
      <c r="CZ51" s="153"/>
      <c r="DA51" s="153"/>
      <c r="DB51" s="250"/>
      <c r="DC51" s="154"/>
      <c r="DD51" s="153"/>
      <c r="DE51" s="153"/>
      <c r="DF51" s="249"/>
      <c r="DG51" s="154"/>
      <c r="DH51" s="153"/>
      <c r="DI51" s="153"/>
      <c r="DJ51" s="249"/>
      <c r="DK51" s="146"/>
      <c r="DL51" s="153"/>
      <c r="DM51" s="153"/>
      <c r="DN51" s="153"/>
      <c r="DO51" s="250"/>
      <c r="DP51" s="241" t="s">
        <v>177</v>
      </c>
    </row>
    <row r="52" spans="1:120" ht="12.75" hidden="1" customHeight="1" outlineLevel="1" thickBot="1">
      <c r="A52" s="14"/>
      <c r="B52" s="396"/>
      <c r="C52" s="676"/>
      <c r="D52" s="677"/>
      <c r="E52" s="702"/>
      <c r="F52" s="225" t="s">
        <v>0</v>
      </c>
      <c r="G52" s="500"/>
      <c r="H52" s="485" t="s">
        <v>39</v>
      </c>
      <c r="I52" s="104"/>
      <c r="J52" s="105"/>
      <c r="K52" s="106">
        <v>45753084</v>
      </c>
      <c r="L52" s="127">
        <v>4503744319</v>
      </c>
      <c r="M52" s="459"/>
      <c r="N52" s="459"/>
      <c r="O52" s="130"/>
      <c r="P52" s="89"/>
      <c r="Q52" s="147"/>
      <c r="R52" s="202" t="s">
        <v>97</v>
      </c>
      <c r="S52" s="197" t="s">
        <v>41</v>
      </c>
      <c r="T52" s="163" t="s">
        <v>44</v>
      </c>
      <c r="U52" s="89"/>
      <c r="V52" s="180"/>
      <c r="W52" s="191"/>
      <c r="X52" s="130"/>
      <c r="Y52" s="89"/>
      <c r="Z52" s="86"/>
      <c r="AA52" s="89"/>
      <c r="AB52" s="130"/>
      <c r="AC52" s="89"/>
      <c r="AD52" s="147"/>
      <c r="AE52" s="89"/>
      <c r="AF52" s="180"/>
      <c r="AG52" s="163" t="s">
        <v>54</v>
      </c>
      <c r="AH52" s="86"/>
      <c r="AI52" s="89"/>
      <c r="AJ52" s="88"/>
      <c r="AK52" s="85"/>
      <c r="AL52" s="86"/>
      <c r="AM52" s="89"/>
      <c r="AN52" s="88"/>
      <c r="AO52" s="80"/>
      <c r="AP52" s="89"/>
      <c r="AQ52" s="147"/>
      <c r="AR52" s="89"/>
      <c r="AS52" s="180"/>
      <c r="AT52" s="85"/>
      <c r="AU52" s="86"/>
      <c r="AV52" s="89"/>
      <c r="AW52" s="88"/>
      <c r="AX52" s="85"/>
      <c r="AY52" s="86"/>
      <c r="AZ52" s="89"/>
      <c r="BA52" s="180"/>
      <c r="BB52" s="130"/>
      <c r="BC52" s="89"/>
      <c r="BD52" s="147"/>
      <c r="BE52" s="89"/>
      <c r="BF52" s="476" t="s">
        <v>44</v>
      </c>
      <c r="BG52" s="89"/>
      <c r="BH52" s="86"/>
      <c r="BI52" s="89"/>
      <c r="BJ52" s="88"/>
      <c r="BK52" s="85"/>
      <c r="BL52" s="89"/>
      <c r="BM52" s="379" t="s">
        <v>84</v>
      </c>
      <c r="BN52" s="89"/>
      <c r="BO52" s="180"/>
      <c r="BP52" s="85"/>
      <c r="BQ52" s="87" t="s">
        <v>44</v>
      </c>
      <c r="BR52" s="379" t="s">
        <v>126</v>
      </c>
      <c r="BS52" s="88"/>
      <c r="BT52" s="85"/>
      <c r="BU52" s="86"/>
      <c r="BV52" s="89"/>
      <c r="BW52" s="180"/>
      <c r="BX52" s="91" t="s">
        <v>84</v>
      </c>
      <c r="BY52" s="89"/>
      <c r="BZ52" s="89"/>
      <c r="CA52" s="89"/>
      <c r="CB52" s="180"/>
      <c r="CC52" s="405"/>
      <c r="CD52" s="87" t="s">
        <v>54</v>
      </c>
      <c r="CE52" s="89"/>
      <c r="CF52" s="88"/>
      <c r="CG52" s="180"/>
      <c r="CH52" s="87" t="s">
        <v>126</v>
      </c>
      <c r="CI52" s="89"/>
      <c r="CJ52" s="180"/>
      <c r="CK52" s="92" t="s">
        <v>85</v>
      </c>
      <c r="CL52" s="89"/>
      <c r="CM52" s="89"/>
      <c r="CN52" s="89"/>
      <c r="CO52" s="89"/>
      <c r="CP52" s="405"/>
      <c r="CQ52" s="86"/>
      <c r="CR52" s="89"/>
      <c r="CS52" s="180"/>
      <c r="CT52" s="405"/>
      <c r="CU52" s="89"/>
      <c r="CV52" s="92" t="s">
        <v>125</v>
      </c>
      <c r="CW52" s="180"/>
      <c r="CX52" s="85"/>
      <c r="CY52" s="89"/>
      <c r="CZ52" s="89"/>
      <c r="DA52" s="89"/>
      <c r="DB52" s="89"/>
      <c r="DC52" s="405"/>
      <c r="DD52" s="86"/>
      <c r="DE52" s="89"/>
      <c r="DF52" s="180"/>
      <c r="DG52" s="405"/>
      <c r="DH52" s="89"/>
      <c r="DI52" s="89"/>
      <c r="DJ52" s="180"/>
      <c r="DK52" s="85"/>
      <c r="DL52" s="89"/>
      <c r="DM52" s="89"/>
      <c r="DN52" s="89"/>
      <c r="DO52" s="89"/>
      <c r="DP52" s="93" t="s">
        <v>343</v>
      </c>
    </row>
    <row r="53" spans="1:120" ht="12.75" hidden="1" customHeight="1" outlineLevel="1">
      <c r="A53" s="14"/>
      <c r="B53" s="396"/>
      <c r="C53" s="700" t="s">
        <v>470</v>
      </c>
      <c r="D53" s="740"/>
      <c r="E53" s="391"/>
      <c r="F53" s="55" t="s">
        <v>81</v>
      </c>
      <c r="G53" s="736"/>
      <c r="H53" s="499" t="s">
        <v>238</v>
      </c>
      <c r="I53" s="686"/>
      <c r="J53" s="686"/>
      <c r="K53" s="650">
        <v>786708</v>
      </c>
      <c r="L53" s="648"/>
      <c r="M53" s="443"/>
      <c r="N53" s="443"/>
      <c r="O53" s="71"/>
      <c r="P53" s="69"/>
      <c r="Q53" s="70"/>
      <c r="R53" s="70"/>
      <c r="S53" s="68"/>
      <c r="T53" s="71"/>
      <c r="U53" s="69"/>
      <c r="V53" s="70"/>
      <c r="W53" s="68"/>
      <c r="X53" s="71"/>
      <c r="Y53" s="69"/>
      <c r="Z53" s="70"/>
      <c r="AA53" s="70"/>
      <c r="AB53" s="71"/>
      <c r="AC53" s="69"/>
      <c r="AD53" s="70"/>
      <c r="AE53" s="70"/>
      <c r="AF53" s="68"/>
      <c r="AG53" s="71"/>
      <c r="AH53" s="69"/>
      <c r="AI53" s="70"/>
      <c r="AJ53" s="68"/>
      <c r="AK53" s="71"/>
      <c r="AL53" s="69"/>
      <c r="AM53" s="69"/>
      <c r="AN53" s="70"/>
      <c r="AO53" s="71"/>
      <c r="AP53" s="152"/>
      <c r="AQ53" s="69"/>
      <c r="AR53" s="70"/>
      <c r="AS53" s="68"/>
      <c r="AT53" s="71"/>
      <c r="AU53" s="69"/>
      <c r="AV53" s="69"/>
      <c r="AW53" s="68"/>
      <c r="AX53" s="71"/>
      <c r="AY53" s="69"/>
      <c r="AZ53" s="70"/>
      <c r="BA53" s="66"/>
      <c r="BB53" s="71"/>
      <c r="BC53" s="69"/>
      <c r="BD53" s="70"/>
      <c r="BE53" s="70"/>
      <c r="BF53" s="68"/>
      <c r="BG53" s="70"/>
      <c r="BH53" s="69"/>
      <c r="BI53" s="70"/>
      <c r="BJ53" s="66"/>
      <c r="BK53" s="71"/>
      <c r="BL53" s="69"/>
      <c r="BM53" s="70"/>
      <c r="BN53" s="70"/>
      <c r="BO53" s="66"/>
      <c r="BP53" s="71"/>
      <c r="BQ53" s="69"/>
      <c r="BR53" s="70"/>
      <c r="BS53" s="68"/>
      <c r="BT53" s="71"/>
      <c r="BU53" s="69"/>
      <c r="BV53" s="70"/>
      <c r="BW53" s="66"/>
      <c r="BX53" s="71"/>
      <c r="BY53" s="69"/>
      <c r="BZ53" s="70"/>
      <c r="CA53" s="70"/>
      <c r="CB53" s="66"/>
      <c r="CC53" s="71"/>
      <c r="CD53" s="69"/>
      <c r="CE53" s="70"/>
      <c r="CF53" s="68"/>
      <c r="CG53" s="70"/>
      <c r="CH53" s="69"/>
      <c r="CI53" s="70"/>
      <c r="CJ53" s="66"/>
      <c r="CK53" s="71"/>
      <c r="CL53" s="69"/>
      <c r="CM53" s="70"/>
      <c r="CN53" s="70"/>
      <c r="CO53" s="68"/>
      <c r="CP53" s="71"/>
      <c r="CQ53" s="69"/>
      <c r="CR53" s="70"/>
      <c r="CS53" s="66"/>
      <c r="CT53" s="71"/>
      <c r="CU53" s="69"/>
      <c r="CV53" s="70"/>
      <c r="CW53" s="66"/>
      <c r="CX53" s="71"/>
      <c r="CY53" s="69"/>
      <c r="CZ53" s="70"/>
      <c r="DA53" s="70"/>
      <c r="DB53" s="68"/>
      <c r="DC53" s="71"/>
      <c r="DD53" s="69"/>
      <c r="DE53" s="70"/>
      <c r="DF53" s="66"/>
      <c r="DG53" s="71"/>
      <c r="DH53" s="69"/>
      <c r="DI53" s="70"/>
      <c r="DJ53" s="66"/>
      <c r="DK53" s="71"/>
      <c r="DL53" s="69"/>
      <c r="DM53" s="70"/>
      <c r="DN53" s="70"/>
      <c r="DO53" s="68"/>
      <c r="DP53" s="112"/>
    </row>
    <row r="54" spans="1:120" ht="12.75" hidden="1" customHeight="1" outlineLevel="1" thickBot="1">
      <c r="A54" s="14"/>
      <c r="B54" s="396"/>
      <c r="C54" s="741"/>
      <c r="D54" s="704"/>
      <c r="E54" s="392"/>
      <c r="F54" s="225" t="s">
        <v>0</v>
      </c>
      <c r="G54" s="663"/>
      <c r="H54" s="431" t="s">
        <v>237</v>
      </c>
      <c r="I54" s="671"/>
      <c r="J54" s="671"/>
      <c r="K54" s="651"/>
      <c r="L54" s="645"/>
      <c r="M54" s="444"/>
      <c r="N54" s="444"/>
      <c r="O54" s="98"/>
      <c r="P54" s="97"/>
      <c r="Q54" s="96"/>
      <c r="R54" s="96"/>
      <c r="S54" s="99"/>
      <c r="T54" s="98"/>
      <c r="U54" s="97"/>
      <c r="V54" s="96"/>
      <c r="W54" s="99"/>
      <c r="X54" s="98"/>
      <c r="Y54" s="97"/>
      <c r="Z54" s="96"/>
      <c r="AA54" s="96"/>
      <c r="AB54" s="98"/>
      <c r="AC54" s="97"/>
      <c r="AD54" s="96"/>
      <c r="AE54" s="96"/>
      <c r="AF54" s="99"/>
      <c r="AG54" s="98"/>
      <c r="AH54" s="97"/>
      <c r="AI54" s="96"/>
      <c r="AJ54" s="99"/>
      <c r="AK54" s="98"/>
      <c r="AL54" s="97"/>
      <c r="AM54" s="165"/>
      <c r="AN54" s="96"/>
      <c r="AO54" s="98"/>
      <c r="AP54" s="97"/>
      <c r="AQ54" s="96"/>
      <c r="AR54" s="96"/>
      <c r="AS54" s="99"/>
      <c r="AT54" s="98"/>
      <c r="AU54" s="97"/>
      <c r="AV54" s="96"/>
      <c r="AW54" s="306" t="s">
        <v>91</v>
      </c>
      <c r="AX54" s="98"/>
      <c r="AY54" s="97"/>
      <c r="AZ54" s="96"/>
      <c r="BA54" s="175"/>
      <c r="BB54" s="98"/>
      <c r="BC54" s="97"/>
      <c r="BD54" s="96"/>
      <c r="BE54" s="96"/>
      <c r="BF54" s="99"/>
      <c r="BG54" s="96"/>
      <c r="BH54" s="97"/>
      <c r="BI54" s="96"/>
      <c r="BJ54" s="175"/>
      <c r="BK54" s="98"/>
      <c r="BL54" s="97"/>
      <c r="BM54" s="96"/>
      <c r="BN54" s="96"/>
      <c r="BO54" s="175"/>
      <c r="BP54" s="98"/>
      <c r="BQ54" s="97"/>
      <c r="BR54" s="96"/>
      <c r="BS54" s="99"/>
      <c r="BT54" s="98"/>
      <c r="BU54" s="97"/>
      <c r="BV54" s="96"/>
      <c r="BW54" s="175"/>
      <c r="BX54" s="98"/>
      <c r="BY54" s="97"/>
      <c r="BZ54" s="96"/>
      <c r="CA54" s="96"/>
      <c r="CB54" s="175"/>
      <c r="CC54" s="98"/>
      <c r="CD54" s="97"/>
      <c r="CE54" s="96"/>
      <c r="CF54" s="99"/>
      <c r="CG54" s="96"/>
      <c r="CH54" s="97"/>
      <c r="CI54" s="96"/>
      <c r="CJ54" s="175"/>
      <c r="CK54" s="98"/>
      <c r="CL54" s="97"/>
      <c r="CM54" s="96"/>
      <c r="CN54" s="96"/>
      <c r="CO54" s="99"/>
      <c r="CP54" s="98"/>
      <c r="CQ54" s="97"/>
      <c r="CR54" s="96"/>
      <c r="CS54" s="175"/>
      <c r="CT54" s="98"/>
      <c r="CU54" s="97"/>
      <c r="CV54" s="96"/>
      <c r="CW54" s="175"/>
      <c r="CX54" s="98"/>
      <c r="CY54" s="97"/>
      <c r="CZ54" s="96"/>
      <c r="DA54" s="96"/>
      <c r="DB54" s="99"/>
      <c r="DC54" s="98"/>
      <c r="DD54" s="97"/>
      <c r="DE54" s="96"/>
      <c r="DF54" s="175"/>
      <c r="DG54" s="98"/>
      <c r="DH54" s="97"/>
      <c r="DI54" s="96"/>
      <c r="DJ54" s="175"/>
      <c r="DK54" s="98"/>
      <c r="DL54" s="97"/>
      <c r="DM54" s="96"/>
      <c r="DN54" s="96"/>
      <c r="DO54" s="99"/>
      <c r="DP54" s="100"/>
    </row>
    <row r="55" spans="1:120" ht="12.75" hidden="1" customHeight="1" outlineLevel="1">
      <c r="A55" s="14"/>
      <c r="B55" s="396"/>
      <c r="C55" s="656"/>
      <c r="D55" s="657"/>
      <c r="E55" s="630"/>
      <c r="F55" s="42" t="s">
        <v>112</v>
      </c>
      <c r="G55" s="649"/>
      <c r="H55" s="482" t="s">
        <v>31</v>
      </c>
      <c r="I55" s="635"/>
      <c r="J55" s="642"/>
      <c r="K55" s="632"/>
      <c r="L55" s="630"/>
      <c r="M55" s="628"/>
      <c r="N55" s="628"/>
      <c r="O55" s="149" t="s">
        <v>243</v>
      </c>
      <c r="P55" s="35"/>
      <c r="Q55" s="129"/>
      <c r="R55" s="129"/>
      <c r="S55" s="457" t="s">
        <v>273</v>
      </c>
      <c r="T55" s="134"/>
      <c r="U55" s="162"/>
      <c r="V55" s="176"/>
      <c r="W55" s="129"/>
      <c r="X55" s="34"/>
      <c r="Y55" s="140" t="s">
        <v>282</v>
      </c>
      <c r="Z55" s="129"/>
      <c r="AA55" s="140" t="s">
        <v>283</v>
      </c>
      <c r="AB55" s="34"/>
      <c r="AC55" s="35"/>
      <c r="AD55" s="129"/>
      <c r="AE55" s="129"/>
      <c r="AF55" s="194" t="s">
        <v>327</v>
      </c>
      <c r="AG55" s="129"/>
      <c r="AH55" s="162"/>
      <c r="AI55" s="176"/>
      <c r="AJ55" s="129"/>
      <c r="AK55" s="130"/>
      <c r="AL55" s="80"/>
      <c r="AM55" s="372"/>
      <c r="AN55" s="372"/>
      <c r="AO55" s="34"/>
      <c r="AP55" s="35"/>
      <c r="AQ55" s="129"/>
      <c r="AR55" s="129"/>
      <c r="AS55" s="162"/>
      <c r="AT55" s="34"/>
      <c r="AU55" s="162"/>
      <c r="AV55" s="129"/>
      <c r="AW55" s="162"/>
      <c r="AX55" s="34"/>
      <c r="AY55" s="80"/>
      <c r="AZ55" s="372"/>
      <c r="BA55" s="372"/>
      <c r="BB55" s="34"/>
      <c r="BC55" s="162"/>
      <c r="BD55" s="176"/>
      <c r="BE55" s="176"/>
      <c r="BF55" s="324"/>
      <c r="BG55" s="34"/>
      <c r="BH55" s="162"/>
      <c r="BI55" s="176"/>
      <c r="BJ55" s="176"/>
      <c r="BK55" s="130"/>
      <c r="BL55" s="469" t="s">
        <v>571</v>
      </c>
      <c r="BM55" s="372"/>
      <c r="BN55" s="372"/>
      <c r="BO55" s="441"/>
      <c r="BP55" s="34"/>
      <c r="BQ55" s="176"/>
      <c r="BR55" s="176"/>
      <c r="BS55" s="176"/>
      <c r="BT55" s="34"/>
      <c r="BU55" s="162"/>
      <c r="BV55" s="117" t="s">
        <v>117</v>
      </c>
      <c r="BW55" s="176"/>
      <c r="BX55" s="117" t="s">
        <v>118</v>
      </c>
      <c r="BY55" s="80"/>
      <c r="BZ55" s="372"/>
      <c r="CA55" s="372"/>
      <c r="CB55" s="532"/>
      <c r="CC55" s="34"/>
      <c r="CD55" s="162"/>
      <c r="CE55" s="176"/>
      <c r="CF55" s="37"/>
      <c r="CG55" s="35"/>
      <c r="CH55" s="162"/>
      <c r="CI55" s="176"/>
      <c r="CJ55" s="176"/>
      <c r="CK55" s="130"/>
      <c r="CL55" s="80"/>
      <c r="CM55" s="372"/>
      <c r="CN55" s="372"/>
      <c r="CO55" s="441"/>
      <c r="CP55" s="34"/>
      <c r="CQ55" s="162"/>
      <c r="CR55" s="176"/>
      <c r="CS55" s="176"/>
      <c r="CT55" s="34"/>
      <c r="CU55" s="162"/>
      <c r="CV55" s="176"/>
      <c r="CW55" s="176"/>
      <c r="CX55" s="130"/>
      <c r="CY55" s="80"/>
      <c r="CZ55" s="372"/>
      <c r="DA55" s="372"/>
      <c r="DB55" s="441"/>
      <c r="DC55" s="34"/>
      <c r="DD55" s="162"/>
      <c r="DE55" s="176"/>
      <c r="DF55" s="176"/>
      <c r="DG55" s="34"/>
      <c r="DH55" s="162"/>
      <c r="DI55" s="176"/>
      <c r="DJ55" s="176"/>
      <c r="DK55" s="130"/>
      <c r="DL55" s="80"/>
      <c r="DM55" s="372"/>
      <c r="DN55" s="372"/>
      <c r="DO55" s="441"/>
      <c r="DP55" s="718"/>
    </row>
    <row r="56" spans="1:120" ht="12.75" hidden="1" customHeight="1" outlineLevel="1">
      <c r="A56" s="14"/>
      <c r="B56" s="396"/>
      <c r="C56" s="656"/>
      <c r="D56" s="657"/>
      <c r="E56" s="630"/>
      <c r="F56" s="357" t="s">
        <v>395</v>
      </c>
      <c r="G56" s="649"/>
      <c r="H56" s="483" t="s">
        <v>66</v>
      </c>
      <c r="I56" s="635"/>
      <c r="J56" s="642"/>
      <c r="K56" s="632"/>
      <c r="L56" s="630"/>
      <c r="M56" s="628"/>
      <c r="N56" s="628"/>
      <c r="O56" s="46"/>
      <c r="P56" s="47"/>
      <c r="Q56" s="138"/>
      <c r="R56" s="177"/>
      <c r="S56" s="463" t="s">
        <v>73</v>
      </c>
      <c r="T56" s="46"/>
      <c r="U56" s="138"/>
      <c r="V56" s="47"/>
      <c r="W56" s="48"/>
      <c r="X56" s="46"/>
      <c r="Y56" s="47"/>
      <c r="Z56" s="47"/>
      <c r="AA56" s="177"/>
      <c r="AB56" s="46"/>
      <c r="AC56" s="47"/>
      <c r="AD56" s="47"/>
      <c r="AE56" s="47"/>
      <c r="AF56" s="190"/>
      <c r="AG56" s="46"/>
      <c r="AH56" s="138"/>
      <c r="AI56" s="47"/>
      <c r="AJ56" s="48"/>
      <c r="AK56" s="46"/>
      <c r="AL56" s="47"/>
      <c r="AM56" s="32" t="s">
        <v>52</v>
      </c>
      <c r="AN56" s="177"/>
      <c r="AO56" s="46"/>
      <c r="AP56" s="47"/>
      <c r="AQ56" s="47"/>
      <c r="AR56" s="47"/>
      <c r="AS56" s="190"/>
      <c r="AT56" s="46"/>
      <c r="AU56" s="138"/>
      <c r="AV56" s="47"/>
      <c r="AW56" s="190"/>
      <c r="AX56" s="46"/>
      <c r="AY56" s="47"/>
      <c r="AZ56" s="47"/>
      <c r="BA56" s="177"/>
      <c r="BB56" s="46"/>
      <c r="BC56" s="138"/>
      <c r="BD56" s="47"/>
      <c r="BE56" s="177"/>
      <c r="BF56" s="190"/>
      <c r="BG56" s="46"/>
      <c r="BH56" s="138"/>
      <c r="BI56" s="47"/>
      <c r="BJ56" s="177"/>
      <c r="BK56" s="46"/>
      <c r="BL56" s="47"/>
      <c r="BM56" s="47"/>
      <c r="BN56" s="47"/>
      <c r="BO56" s="48"/>
      <c r="BP56" s="46"/>
      <c r="BQ56" s="138"/>
      <c r="BR56" s="47"/>
      <c r="BS56" s="177"/>
      <c r="BT56" s="46"/>
      <c r="BU56" s="138"/>
      <c r="BV56" s="47"/>
      <c r="BW56" s="177"/>
      <c r="BX56" s="46"/>
      <c r="BY56" s="47"/>
      <c r="BZ56" s="47"/>
      <c r="CA56" s="47"/>
      <c r="CB56" s="177"/>
      <c r="CC56" s="46"/>
      <c r="CD56" s="138"/>
      <c r="CE56" s="47"/>
      <c r="CF56" s="48"/>
      <c r="CG56" s="47"/>
      <c r="CH56" s="138"/>
      <c r="CI56" s="47"/>
      <c r="CJ56" s="177"/>
      <c r="CK56" s="46"/>
      <c r="CL56" s="47"/>
      <c r="CM56" s="47"/>
      <c r="CN56" s="47"/>
      <c r="CO56" s="48"/>
      <c r="CP56" s="46"/>
      <c r="CQ56" s="138"/>
      <c r="CR56" s="47"/>
      <c r="CS56" s="177"/>
      <c r="CT56" s="46"/>
      <c r="CU56" s="138"/>
      <c r="CV56" s="47"/>
      <c r="CW56" s="177"/>
      <c r="CX56" s="46"/>
      <c r="CY56" s="47"/>
      <c r="CZ56" s="47"/>
      <c r="DA56" s="47"/>
      <c r="DB56" s="48"/>
      <c r="DC56" s="46"/>
      <c r="DD56" s="138"/>
      <c r="DE56" s="47"/>
      <c r="DF56" s="177"/>
      <c r="DG56" s="46"/>
      <c r="DH56" s="138"/>
      <c r="DI56" s="47"/>
      <c r="DJ56" s="177"/>
      <c r="DK56" s="46"/>
      <c r="DL56" s="47"/>
      <c r="DM56" s="47"/>
      <c r="DN56" s="47"/>
      <c r="DO56" s="48"/>
      <c r="DP56" s="718"/>
    </row>
    <row r="57" spans="1:120" ht="12.75" hidden="1" customHeight="1" outlineLevel="1">
      <c r="A57" s="14"/>
      <c r="B57" s="396"/>
      <c r="C57" s="656"/>
      <c r="D57" s="657"/>
      <c r="E57" s="630"/>
      <c r="F57" s="225" t="s">
        <v>0</v>
      </c>
      <c r="G57" s="649" t="e">
        <f>#REF!</f>
        <v>#REF!</v>
      </c>
      <c r="H57" s="484" t="s">
        <v>129</v>
      </c>
      <c r="I57" s="635"/>
      <c r="J57" s="642"/>
      <c r="K57" s="632"/>
      <c r="L57" s="630"/>
      <c r="M57" s="628"/>
      <c r="N57" s="628"/>
      <c r="O57" s="323"/>
      <c r="P57" s="242"/>
      <c r="Q57" s="251"/>
      <c r="R57" s="251"/>
      <c r="S57" s="426" t="s">
        <v>272</v>
      </c>
      <c r="T57" s="218"/>
      <c r="U57" s="242"/>
      <c r="V57" s="242"/>
      <c r="W57" s="309" t="s">
        <v>25</v>
      </c>
      <c r="X57" s="218"/>
      <c r="Y57" s="242"/>
      <c r="Z57" s="242"/>
      <c r="AA57" s="245"/>
      <c r="AB57" s="218"/>
      <c r="AC57" s="242"/>
      <c r="AD57" s="242"/>
      <c r="AE57" s="318" t="s">
        <v>26</v>
      </c>
      <c r="AF57" s="263" t="s">
        <v>326</v>
      </c>
      <c r="AG57" s="218"/>
      <c r="AH57" s="242"/>
      <c r="AI57" s="242"/>
      <c r="AJ57" s="246"/>
      <c r="AK57" s="351" t="s">
        <v>372</v>
      </c>
      <c r="AL57" s="242"/>
      <c r="AM57" s="282" t="s">
        <v>380</v>
      </c>
      <c r="AN57" s="198" t="s">
        <v>25</v>
      </c>
      <c r="AO57" s="351" t="s">
        <v>382</v>
      </c>
      <c r="AP57" s="242"/>
      <c r="AQ57" s="242"/>
      <c r="AR57" s="251"/>
      <c r="AS57" s="246"/>
      <c r="AT57" s="218"/>
      <c r="AU57" s="210" t="s">
        <v>435</v>
      </c>
      <c r="AV57" s="245"/>
      <c r="AW57" s="376" t="s">
        <v>101</v>
      </c>
      <c r="AX57" s="218"/>
      <c r="AY57" s="242"/>
      <c r="AZ57" s="242"/>
      <c r="BA57" s="251"/>
      <c r="BB57" s="218"/>
      <c r="BC57" s="242"/>
      <c r="BD57" s="242"/>
      <c r="BE57" s="251"/>
      <c r="BF57" s="246"/>
      <c r="BG57" s="218"/>
      <c r="BH57" s="242"/>
      <c r="BI57" s="242"/>
      <c r="BJ57" s="245"/>
      <c r="BK57" s="218"/>
      <c r="BL57" s="242"/>
      <c r="BM57" s="242"/>
      <c r="BN57" s="242"/>
      <c r="BO57" s="373"/>
      <c r="BP57" s="218"/>
      <c r="BQ57" s="242"/>
      <c r="BR57" s="305"/>
      <c r="BS57" s="436" t="s">
        <v>24</v>
      </c>
      <c r="BT57" s="218"/>
      <c r="BU57" s="242"/>
      <c r="BV57" s="242"/>
      <c r="BW57" s="436" t="s">
        <v>101</v>
      </c>
      <c r="BX57" s="218"/>
      <c r="BY57" s="242"/>
      <c r="BZ57" s="242"/>
      <c r="CA57" s="242"/>
      <c r="CB57" s="245"/>
      <c r="CC57" s="218"/>
      <c r="CD57" s="242"/>
      <c r="CE57" s="242"/>
      <c r="CF57" s="246"/>
      <c r="CG57" s="242"/>
      <c r="CH57" s="242"/>
      <c r="CI57" s="242"/>
      <c r="CJ57" s="245"/>
      <c r="CK57" s="218"/>
      <c r="CL57" s="242"/>
      <c r="CM57" s="242"/>
      <c r="CN57" s="242"/>
      <c r="CO57" s="373"/>
      <c r="CP57" s="218"/>
      <c r="CQ57" s="242"/>
      <c r="CR57" s="242"/>
      <c r="CS57" s="245"/>
      <c r="CT57" s="218"/>
      <c r="CU57" s="242"/>
      <c r="CV57" s="242"/>
      <c r="CW57" s="245"/>
      <c r="CX57" s="218"/>
      <c r="CY57" s="242"/>
      <c r="CZ57" s="242"/>
      <c r="DA57" s="242"/>
      <c r="DB57" s="373"/>
      <c r="DC57" s="218"/>
      <c r="DD57" s="242"/>
      <c r="DE57" s="242"/>
      <c r="DF57" s="245"/>
      <c r="DG57" s="218"/>
      <c r="DH57" s="242"/>
      <c r="DI57" s="242"/>
      <c r="DJ57" s="245"/>
      <c r="DK57" s="218"/>
      <c r="DL57" s="242"/>
      <c r="DM57" s="242"/>
      <c r="DN57" s="242"/>
      <c r="DO57" s="373"/>
      <c r="DP57" s="718"/>
    </row>
    <row r="58" spans="1:120" ht="12.75" hidden="1" customHeight="1" outlineLevel="1">
      <c r="A58" s="14"/>
      <c r="B58" s="396"/>
      <c r="C58" s="656"/>
      <c r="D58" s="657"/>
      <c r="E58" s="630"/>
      <c r="F58" s="225" t="s">
        <v>15</v>
      </c>
      <c r="G58" s="649"/>
      <c r="H58" s="484" t="s">
        <v>130</v>
      </c>
      <c r="I58" s="635"/>
      <c r="J58" s="642"/>
      <c r="K58" s="632"/>
      <c r="L58" s="630"/>
      <c r="M58" s="629"/>
      <c r="N58" s="628"/>
      <c r="O58" s="278"/>
      <c r="P58" s="279"/>
      <c r="Q58" s="279"/>
      <c r="R58" s="346" t="s">
        <v>171</v>
      </c>
      <c r="S58" s="424"/>
      <c r="T58" s="146"/>
      <c r="U58" s="72"/>
      <c r="V58" s="346" t="s">
        <v>171</v>
      </c>
      <c r="W58" s="277"/>
      <c r="X58" s="72"/>
      <c r="Y58" s="72"/>
      <c r="Z58" s="474" t="s">
        <v>171</v>
      </c>
      <c r="AA58" s="247"/>
      <c r="AB58" s="278"/>
      <c r="AC58" s="279"/>
      <c r="AD58" s="279"/>
      <c r="AE58" s="337" t="s">
        <v>171</v>
      </c>
      <c r="AF58" s="277"/>
      <c r="AG58" s="146"/>
      <c r="AH58" s="72"/>
      <c r="AI58" s="338"/>
      <c r="AJ58" s="277"/>
      <c r="AK58" s="278"/>
      <c r="AL58" s="279"/>
      <c r="AM58" s="279"/>
      <c r="AN58" s="338"/>
      <c r="AO58" s="278"/>
      <c r="AP58" s="279"/>
      <c r="AQ58" s="279"/>
      <c r="AR58" s="338"/>
      <c r="AS58" s="277"/>
      <c r="AT58" s="146"/>
      <c r="AU58" s="72"/>
      <c r="AV58" s="338"/>
      <c r="AW58" s="277"/>
      <c r="AX58" s="278"/>
      <c r="AY58" s="279"/>
      <c r="AZ58" s="279"/>
      <c r="BA58" s="338"/>
      <c r="BB58" s="278"/>
      <c r="BC58" s="279"/>
      <c r="BD58" s="279"/>
      <c r="BE58" s="338"/>
      <c r="BF58" s="277"/>
      <c r="BG58" s="146"/>
      <c r="BH58" s="72"/>
      <c r="BI58" s="338"/>
      <c r="BJ58" s="322"/>
      <c r="BK58" s="278"/>
      <c r="BL58" s="279"/>
      <c r="BM58" s="279"/>
      <c r="BN58" s="279"/>
      <c r="BO58" s="374"/>
      <c r="BP58" s="146"/>
      <c r="BQ58" s="72"/>
      <c r="BR58" s="338"/>
      <c r="BS58" s="322"/>
      <c r="BT58" s="146"/>
      <c r="BU58" s="72"/>
      <c r="BV58" s="338"/>
      <c r="BW58" s="322"/>
      <c r="BX58" s="278"/>
      <c r="BY58" s="279"/>
      <c r="BZ58" s="279"/>
      <c r="CA58" s="279"/>
      <c r="CB58" s="617"/>
      <c r="CC58" s="146"/>
      <c r="CD58" s="72"/>
      <c r="CE58" s="338"/>
      <c r="CF58" s="277"/>
      <c r="CG58" s="72"/>
      <c r="CH58" s="72"/>
      <c r="CI58" s="338"/>
      <c r="CJ58" s="322"/>
      <c r="CK58" s="278"/>
      <c r="CL58" s="279"/>
      <c r="CM58" s="279"/>
      <c r="CN58" s="279"/>
      <c r="CO58" s="374"/>
      <c r="CP58" s="146"/>
      <c r="CQ58" s="72"/>
      <c r="CR58" s="338"/>
      <c r="CS58" s="322"/>
      <c r="CT58" s="146"/>
      <c r="CU58" s="72"/>
      <c r="CV58" s="338"/>
      <c r="CW58" s="322"/>
      <c r="CX58" s="278"/>
      <c r="CY58" s="279"/>
      <c r="CZ58" s="279"/>
      <c r="DA58" s="279"/>
      <c r="DB58" s="374"/>
      <c r="DC58" s="146"/>
      <c r="DD58" s="72"/>
      <c r="DE58" s="338"/>
      <c r="DF58" s="322"/>
      <c r="DG58" s="146"/>
      <c r="DH58" s="72"/>
      <c r="DI58" s="338"/>
      <c r="DJ58" s="322"/>
      <c r="DK58" s="278"/>
      <c r="DL58" s="279"/>
      <c r="DM58" s="279"/>
      <c r="DN58" s="279"/>
      <c r="DO58" s="374"/>
      <c r="DP58" s="719"/>
    </row>
    <row r="59" spans="1:120" ht="12.75" hidden="1" customHeight="1" outlineLevel="1">
      <c r="A59" s="14"/>
      <c r="B59" s="396"/>
      <c r="C59" s="656"/>
      <c r="D59" s="657"/>
      <c r="E59" s="630"/>
      <c r="F59" s="225" t="s">
        <v>7</v>
      </c>
      <c r="G59" s="496"/>
      <c r="H59" s="484" t="s">
        <v>157</v>
      </c>
      <c r="I59" s="635"/>
      <c r="J59" s="642"/>
      <c r="K59" s="632"/>
      <c r="L59" s="630"/>
      <c r="M59" s="629"/>
      <c r="N59" s="628"/>
      <c r="O59" s="146"/>
      <c r="P59" s="153"/>
      <c r="Q59" s="153"/>
      <c r="R59" s="153"/>
      <c r="S59" s="424"/>
      <c r="T59" s="154"/>
      <c r="U59" s="153"/>
      <c r="V59" s="153"/>
      <c r="W59" s="250"/>
      <c r="X59" s="153"/>
      <c r="Y59" s="153"/>
      <c r="Z59" s="72"/>
      <c r="AA59" s="247"/>
      <c r="AB59" s="146"/>
      <c r="AC59" s="153"/>
      <c r="AD59" s="153"/>
      <c r="AE59" s="153"/>
      <c r="AF59" s="153"/>
      <c r="AG59" s="154"/>
      <c r="AH59" s="153"/>
      <c r="AI59" s="153"/>
      <c r="AJ59" s="250"/>
      <c r="AK59" s="146"/>
      <c r="AL59" s="153"/>
      <c r="AM59" s="153"/>
      <c r="AN59" s="153"/>
      <c r="AO59" s="146"/>
      <c r="AP59" s="153"/>
      <c r="AQ59" s="153"/>
      <c r="AR59" s="153"/>
      <c r="AS59" s="153"/>
      <c r="AT59" s="154"/>
      <c r="AU59" s="153"/>
      <c r="AV59" s="153"/>
      <c r="AW59" s="250"/>
      <c r="AX59" s="146"/>
      <c r="AY59" s="153"/>
      <c r="AZ59" s="153"/>
      <c r="BA59" s="153"/>
      <c r="BB59" s="146"/>
      <c r="BC59" s="153"/>
      <c r="BD59" s="153"/>
      <c r="BE59" s="153"/>
      <c r="BF59" s="153"/>
      <c r="BG59" s="154"/>
      <c r="BH59" s="153"/>
      <c r="BI59" s="153"/>
      <c r="BJ59" s="249"/>
      <c r="BK59" s="146"/>
      <c r="BL59" s="153"/>
      <c r="BM59" s="153"/>
      <c r="BN59" s="153"/>
      <c r="BO59" s="250"/>
      <c r="BP59" s="154"/>
      <c r="BQ59" s="153"/>
      <c r="BR59" s="153"/>
      <c r="BS59" s="249"/>
      <c r="BT59" s="154"/>
      <c r="BU59" s="153"/>
      <c r="BV59" s="153"/>
      <c r="BW59" s="249"/>
      <c r="BX59" s="146"/>
      <c r="BY59" s="153"/>
      <c r="BZ59" s="153"/>
      <c r="CA59" s="153"/>
      <c r="CB59" s="249"/>
      <c r="CC59" s="154"/>
      <c r="CD59" s="153"/>
      <c r="CE59" s="153"/>
      <c r="CF59" s="250"/>
      <c r="CG59" s="153"/>
      <c r="CH59" s="153"/>
      <c r="CI59" s="153"/>
      <c r="CJ59" s="249"/>
      <c r="CK59" s="146"/>
      <c r="CL59" s="153"/>
      <c r="CM59" s="153"/>
      <c r="CN59" s="153"/>
      <c r="CO59" s="250"/>
      <c r="CP59" s="154"/>
      <c r="CQ59" s="153"/>
      <c r="CR59" s="153"/>
      <c r="CS59" s="249"/>
      <c r="CT59" s="154"/>
      <c r="CU59" s="153"/>
      <c r="CV59" s="153"/>
      <c r="CW59" s="249"/>
      <c r="CX59" s="146"/>
      <c r="CY59" s="153"/>
      <c r="CZ59" s="153"/>
      <c r="DA59" s="153"/>
      <c r="DB59" s="250"/>
      <c r="DC59" s="154"/>
      <c r="DD59" s="153"/>
      <c r="DE59" s="153"/>
      <c r="DF59" s="249"/>
      <c r="DG59" s="154"/>
      <c r="DH59" s="153"/>
      <c r="DI59" s="153"/>
      <c r="DJ59" s="249"/>
      <c r="DK59" s="146"/>
      <c r="DL59" s="153"/>
      <c r="DM59" s="153"/>
      <c r="DN59" s="153"/>
      <c r="DO59" s="250"/>
      <c r="DP59" s="241"/>
    </row>
    <row r="60" spans="1:120" ht="12.75" hidden="1" customHeight="1" outlineLevel="1" thickBot="1">
      <c r="A60" s="14"/>
      <c r="B60" s="396"/>
      <c r="C60" s="658"/>
      <c r="D60" s="659"/>
      <c r="E60" s="687"/>
      <c r="F60" s="359" t="s">
        <v>0</v>
      </c>
      <c r="G60" s="497"/>
      <c r="H60" s="489" t="s">
        <v>39</v>
      </c>
      <c r="I60" s="101"/>
      <c r="J60" s="102"/>
      <c r="K60" s="103"/>
      <c r="L60" s="128"/>
      <c r="M60" s="462"/>
      <c r="N60" s="462"/>
      <c r="O60" s="84"/>
      <c r="P60" s="39"/>
      <c r="Q60" s="407"/>
      <c r="R60" s="39"/>
      <c r="S60" s="467"/>
      <c r="T60" s="38"/>
      <c r="U60" s="40"/>
      <c r="V60" s="39"/>
      <c r="W60" s="41"/>
      <c r="X60" s="38"/>
      <c r="Y60" s="40"/>
      <c r="Z60" s="39"/>
      <c r="AA60" s="41"/>
      <c r="AB60" s="84"/>
      <c r="AC60" s="39"/>
      <c r="AD60" s="407"/>
      <c r="AE60" s="39"/>
      <c r="AF60" s="41"/>
      <c r="AG60" s="38"/>
      <c r="AH60" s="40"/>
      <c r="AI60" s="39"/>
      <c r="AJ60" s="41"/>
      <c r="AK60" s="84"/>
      <c r="AL60" s="39"/>
      <c r="AM60" s="407"/>
      <c r="AN60" s="39"/>
      <c r="AO60" s="84"/>
      <c r="AP60" s="39"/>
      <c r="AQ60" s="407"/>
      <c r="AR60" s="39"/>
      <c r="AS60" s="41"/>
      <c r="AT60" s="38"/>
      <c r="AU60" s="40"/>
      <c r="AV60" s="39"/>
      <c r="AW60" s="41"/>
      <c r="AX60" s="84"/>
      <c r="AY60" s="39"/>
      <c r="AZ60" s="407"/>
      <c r="BA60" s="39"/>
      <c r="BB60" s="84"/>
      <c r="BC60" s="39"/>
      <c r="BD60" s="407"/>
      <c r="BE60" s="39"/>
      <c r="BF60" s="41"/>
      <c r="BG60" s="38"/>
      <c r="BH60" s="40"/>
      <c r="BI60" s="39"/>
      <c r="BJ60" s="184"/>
      <c r="BK60" s="84"/>
      <c r="BL60" s="39"/>
      <c r="BM60" s="407"/>
      <c r="BN60" s="407"/>
      <c r="BO60" s="41"/>
      <c r="BP60" s="38"/>
      <c r="BQ60" s="40"/>
      <c r="BR60" s="39"/>
      <c r="BS60" s="184"/>
      <c r="BT60" s="38"/>
      <c r="BU60" s="40"/>
      <c r="BV60" s="39"/>
      <c r="BW60" s="184"/>
      <c r="BX60" s="84"/>
      <c r="BY60" s="39"/>
      <c r="BZ60" s="407"/>
      <c r="CA60" s="407"/>
      <c r="CB60" s="620"/>
      <c r="CC60" s="38"/>
      <c r="CD60" s="40"/>
      <c r="CE60" s="39"/>
      <c r="CF60" s="41"/>
      <c r="CG60" s="39"/>
      <c r="CH60" s="40"/>
      <c r="CI60" s="39"/>
      <c r="CJ60" s="184"/>
      <c r="CK60" s="84"/>
      <c r="CL60" s="39"/>
      <c r="CM60" s="407"/>
      <c r="CN60" s="407"/>
      <c r="CO60" s="41"/>
      <c r="CP60" s="38"/>
      <c r="CQ60" s="40"/>
      <c r="CR60" s="39"/>
      <c r="CS60" s="184"/>
      <c r="CT60" s="38"/>
      <c r="CU60" s="40"/>
      <c r="CV60" s="39"/>
      <c r="CW60" s="184"/>
      <c r="CX60" s="84"/>
      <c r="CY60" s="39"/>
      <c r="CZ60" s="407"/>
      <c r="DA60" s="407"/>
      <c r="DB60" s="41"/>
      <c r="DC60" s="38"/>
      <c r="DD60" s="40"/>
      <c r="DE60" s="39"/>
      <c r="DF60" s="184"/>
      <c r="DG60" s="38"/>
      <c r="DH60" s="40"/>
      <c r="DI60" s="39"/>
      <c r="DJ60" s="184"/>
      <c r="DK60" s="84"/>
      <c r="DL60" s="39"/>
      <c r="DM60" s="407"/>
      <c r="DN60" s="407"/>
      <c r="DO60" s="41"/>
      <c r="DP60" s="423"/>
    </row>
    <row r="61" spans="1:120" ht="12.75" customHeight="1" thickBot="1">
      <c r="A61" s="14"/>
      <c r="B61" s="396"/>
      <c r="C61" s="76"/>
      <c r="D61" s="82"/>
      <c r="E61" s="1"/>
      <c r="F61" s="82"/>
      <c r="G61" s="82"/>
      <c r="H61" s="79"/>
      <c r="I61" s="82"/>
      <c r="J61" s="82"/>
      <c r="K61" s="82"/>
      <c r="L61" s="82"/>
      <c r="M61" s="460"/>
      <c r="N61" s="460"/>
      <c r="O61" s="66"/>
      <c r="P61" s="66"/>
      <c r="Q61" s="66"/>
      <c r="R61" s="66"/>
      <c r="S61" s="68"/>
      <c r="T61" s="66"/>
      <c r="U61" s="66"/>
      <c r="V61" s="66"/>
      <c r="W61" s="66"/>
      <c r="X61" s="67"/>
      <c r="Y61" s="66"/>
      <c r="Z61" s="66"/>
      <c r="AA61" s="66"/>
      <c r="AB61" s="67"/>
      <c r="AC61" s="66"/>
      <c r="AD61" s="66"/>
      <c r="AE61" s="66"/>
      <c r="AF61" s="66"/>
      <c r="AG61" s="66"/>
      <c r="AH61" s="66"/>
      <c r="AI61" s="66"/>
      <c r="AJ61" s="66"/>
      <c r="AK61" s="66"/>
      <c r="AL61" s="66"/>
      <c r="AM61" s="66"/>
      <c r="AN61" s="68"/>
      <c r="AO61" s="66"/>
      <c r="AP61" s="66"/>
      <c r="AQ61" s="66"/>
      <c r="AR61" s="66"/>
      <c r="AS61" s="66"/>
      <c r="AT61" s="67"/>
      <c r="AU61" s="66"/>
      <c r="AV61" s="66"/>
      <c r="AW61" s="66"/>
      <c r="AX61" s="66"/>
      <c r="AY61" s="66"/>
      <c r="AZ61" s="66"/>
      <c r="BA61" s="66"/>
      <c r="BB61" s="66"/>
      <c r="BC61" s="66"/>
      <c r="BD61" s="66"/>
      <c r="BE61" s="66"/>
      <c r="BF61" s="66"/>
      <c r="BG61" s="67"/>
      <c r="BH61" s="66"/>
      <c r="BI61" s="66"/>
      <c r="BJ61" s="66"/>
      <c r="BK61" s="66"/>
      <c r="BL61" s="66"/>
      <c r="BM61" s="66"/>
      <c r="BN61" s="66"/>
      <c r="BO61" s="66"/>
      <c r="BP61" s="66"/>
      <c r="BQ61" s="66"/>
      <c r="BR61" s="66"/>
      <c r="BS61" s="66"/>
      <c r="BT61" s="67"/>
      <c r="BU61" s="66"/>
      <c r="BV61" s="66"/>
      <c r="BW61" s="66"/>
      <c r="BX61" s="66"/>
      <c r="BY61" s="66"/>
      <c r="BZ61" s="66"/>
      <c r="CA61" s="66"/>
      <c r="CB61" s="66"/>
      <c r="CC61" s="67"/>
      <c r="CD61" s="66"/>
      <c r="CE61" s="66"/>
      <c r="CF61" s="68"/>
      <c r="CG61" s="66"/>
      <c r="CH61" s="66"/>
      <c r="CI61" s="66"/>
      <c r="CJ61" s="66"/>
      <c r="CK61" s="66"/>
      <c r="CL61" s="66"/>
      <c r="CM61" s="66"/>
      <c r="CN61" s="66"/>
      <c r="CO61" s="66"/>
      <c r="CP61" s="67"/>
      <c r="CQ61" s="66"/>
      <c r="CR61" s="66"/>
      <c r="CS61" s="66"/>
      <c r="CT61" s="67"/>
      <c r="CU61" s="66"/>
      <c r="CV61" s="66"/>
      <c r="CW61" s="66"/>
      <c r="CX61" s="67"/>
      <c r="CY61" s="66"/>
      <c r="CZ61" s="66"/>
      <c r="DA61" s="66"/>
      <c r="DB61" s="66"/>
      <c r="DC61" s="67"/>
      <c r="DD61" s="66"/>
      <c r="DE61" s="66"/>
      <c r="DF61" s="66"/>
      <c r="DG61" s="67"/>
      <c r="DH61" s="66"/>
      <c r="DI61" s="66"/>
      <c r="DJ61" s="66"/>
      <c r="DK61" s="67"/>
      <c r="DL61" s="66"/>
      <c r="DM61" s="66"/>
      <c r="DN61" s="66"/>
      <c r="DO61" s="66"/>
      <c r="DP61" s="16"/>
    </row>
    <row r="62" spans="1:120" ht="12.75" customHeight="1" collapsed="1">
      <c r="A62" s="14"/>
      <c r="B62" s="396"/>
      <c r="C62" s="672" t="s">
        <v>593</v>
      </c>
      <c r="D62" s="691"/>
      <c r="E62" s="664" t="s">
        <v>37</v>
      </c>
      <c r="F62" s="481" t="s">
        <v>98</v>
      </c>
      <c r="G62" s="652" t="s">
        <v>345</v>
      </c>
      <c r="H62" s="274" t="s">
        <v>40</v>
      </c>
      <c r="I62" s="636">
        <f>I69</f>
        <v>1018768.35</v>
      </c>
      <c r="J62" s="641">
        <f>J69</f>
        <v>0</v>
      </c>
      <c r="K62" s="631">
        <f>K69</f>
        <v>0</v>
      </c>
      <c r="L62" s="639" t="s">
        <v>41</v>
      </c>
      <c r="M62" s="720">
        <v>0.39</v>
      </c>
      <c r="N62" s="724">
        <v>0.4</v>
      </c>
      <c r="O62" s="23"/>
      <c r="P62" s="25"/>
      <c r="Q62" s="25"/>
      <c r="R62" s="183"/>
      <c r="S62" s="27"/>
      <c r="T62" s="25"/>
      <c r="U62" s="25"/>
      <c r="V62" s="24"/>
      <c r="W62" s="26"/>
      <c r="X62" s="23"/>
      <c r="Y62" s="11" t="s">
        <v>28</v>
      </c>
      <c r="Z62" s="11" t="s">
        <v>27</v>
      </c>
      <c r="AA62" s="183"/>
      <c r="AB62" s="23"/>
      <c r="AC62" s="25"/>
      <c r="AD62" s="25"/>
      <c r="AE62" s="183"/>
      <c r="AF62" s="160"/>
      <c r="AG62" s="23"/>
      <c r="AH62" s="11" t="s">
        <v>354</v>
      </c>
      <c r="AI62" s="11" t="s">
        <v>108</v>
      </c>
      <c r="AJ62" s="28" t="s">
        <v>82</v>
      </c>
      <c r="AK62" s="25"/>
      <c r="AL62" s="25"/>
      <c r="AM62" s="25"/>
      <c r="AN62" s="26"/>
      <c r="AO62" s="23"/>
      <c r="AP62" s="25"/>
      <c r="AQ62" s="25"/>
      <c r="AR62" s="25"/>
      <c r="AS62" s="183"/>
      <c r="AT62" s="23"/>
      <c r="AU62" s="24"/>
      <c r="AV62" s="24"/>
      <c r="AW62" s="186" t="s">
        <v>25</v>
      </c>
      <c r="AX62" s="23"/>
      <c r="AY62" s="25"/>
      <c r="AZ62" s="24"/>
      <c r="BA62" s="26"/>
      <c r="BB62" s="25"/>
      <c r="BC62" s="24"/>
      <c r="BD62" s="160"/>
      <c r="BE62" s="160"/>
      <c r="BF62" s="183"/>
      <c r="BG62" s="23"/>
      <c r="BH62" s="160"/>
      <c r="BI62" s="160"/>
      <c r="BJ62" s="26"/>
      <c r="BK62" s="115" t="s">
        <v>24</v>
      </c>
      <c r="BL62" s="160"/>
      <c r="BM62" s="24"/>
      <c r="BN62" s="24"/>
      <c r="BO62" s="466" t="s">
        <v>101</v>
      </c>
      <c r="BP62" s="13" t="s">
        <v>101</v>
      </c>
      <c r="BQ62" s="12" t="s">
        <v>101</v>
      </c>
      <c r="BR62" s="12" t="s">
        <v>101</v>
      </c>
      <c r="BS62" s="183"/>
      <c r="BT62" s="22" t="s">
        <v>14</v>
      </c>
      <c r="BU62" s="260"/>
      <c r="BV62" s="432"/>
      <c r="BW62" s="183"/>
      <c r="BX62" s="255"/>
      <c r="BY62" s="260"/>
      <c r="BZ62" s="260"/>
      <c r="CA62" s="12" t="s">
        <v>30</v>
      </c>
      <c r="CB62" s="26"/>
      <c r="CC62" s="23"/>
      <c r="CD62" s="24"/>
      <c r="CE62" s="58"/>
      <c r="CF62" s="26" t="s">
        <v>109</v>
      </c>
      <c r="CG62" s="25" t="s">
        <v>109</v>
      </c>
      <c r="CH62" s="25" t="s">
        <v>109</v>
      </c>
      <c r="CI62" s="25" t="s">
        <v>109</v>
      </c>
      <c r="CJ62" s="25" t="s">
        <v>42</v>
      </c>
      <c r="CK62" s="23"/>
      <c r="CL62" s="25"/>
      <c r="CM62" s="24"/>
      <c r="CN62" s="183"/>
      <c r="CO62" s="27"/>
      <c r="CP62" s="23"/>
      <c r="CQ62" s="24"/>
      <c r="CR62" s="58"/>
      <c r="CS62" s="26"/>
      <c r="CT62" s="23"/>
      <c r="CU62" s="24"/>
      <c r="CV62" s="58"/>
      <c r="CW62" s="26"/>
      <c r="CX62" s="23"/>
      <c r="CY62" s="25"/>
      <c r="CZ62" s="24"/>
      <c r="DA62" s="183"/>
      <c r="DB62" s="27"/>
      <c r="DC62" s="23"/>
      <c r="DD62" s="24"/>
      <c r="DE62" s="58"/>
      <c r="DF62" s="26"/>
      <c r="DG62" s="23"/>
      <c r="DH62" s="24"/>
      <c r="DI62" s="58"/>
      <c r="DJ62" s="26"/>
      <c r="DK62" s="23"/>
      <c r="DL62" s="25"/>
      <c r="DM62" s="24"/>
      <c r="DN62" s="183"/>
      <c r="DO62" s="27"/>
      <c r="DP62" s="729" t="s">
        <v>205</v>
      </c>
    </row>
    <row r="63" spans="1:120" ht="12.75" hidden="1" customHeight="1" outlineLevel="1">
      <c r="A63" s="14"/>
      <c r="B63" s="396"/>
      <c r="C63" s="656"/>
      <c r="D63" s="657"/>
      <c r="E63" s="665"/>
      <c r="F63" s="42" t="s">
        <v>185</v>
      </c>
      <c r="G63" s="649"/>
      <c r="H63" s="482" t="s">
        <v>31</v>
      </c>
      <c r="I63" s="635"/>
      <c r="J63" s="642"/>
      <c r="K63" s="632"/>
      <c r="L63" s="630"/>
      <c r="M63" s="628"/>
      <c r="N63" s="628"/>
      <c r="O63" s="34"/>
      <c r="P63" s="129"/>
      <c r="Q63" s="129"/>
      <c r="R63" s="129"/>
      <c r="S63" s="142"/>
      <c r="T63" s="35"/>
      <c r="U63" s="129"/>
      <c r="V63" s="35"/>
      <c r="W63" s="189"/>
      <c r="X63" s="134"/>
      <c r="Y63" s="140" t="s">
        <v>301</v>
      </c>
      <c r="Z63" s="32" t="s">
        <v>34</v>
      </c>
      <c r="AA63" s="201" t="s">
        <v>199</v>
      </c>
      <c r="AB63" s="267" t="s">
        <v>315</v>
      </c>
      <c r="AC63" s="157" t="s">
        <v>336</v>
      </c>
      <c r="AD63" s="131" t="s">
        <v>330</v>
      </c>
      <c r="AE63" s="151" t="s">
        <v>335</v>
      </c>
      <c r="AF63" s="307" t="s">
        <v>35</v>
      </c>
      <c r="AG63" s="137" t="s">
        <v>371</v>
      </c>
      <c r="AH63" s="262" t="s">
        <v>32</v>
      </c>
      <c r="AI63" s="157" t="s">
        <v>111</v>
      </c>
      <c r="AJ63" s="143" t="s">
        <v>366</v>
      </c>
      <c r="AK63" s="140" t="s">
        <v>371</v>
      </c>
      <c r="AL63" s="140" t="s">
        <v>376</v>
      </c>
      <c r="AM63" s="265" t="s">
        <v>377</v>
      </c>
      <c r="AN63" s="131" t="s">
        <v>405</v>
      </c>
      <c r="AO63" s="149" t="s">
        <v>403</v>
      </c>
      <c r="AP63" s="131" t="s">
        <v>404</v>
      </c>
      <c r="AQ63" s="131" t="s">
        <v>406</v>
      </c>
      <c r="AR63" s="207" t="s">
        <v>420</v>
      </c>
      <c r="AS63" s="341" t="s">
        <v>433</v>
      </c>
      <c r="AT63" s="149" t="s">
        <v>434</v>
      </c>
      <c r="AU63" s="140" t="s">
        <v>453</v>
      </c>
      <c r="AV63" s="43" t="s">
        <v>454</v>
      </c>
      <c r="AW63" s="201" t="s">
        <v>406</v>
      </c>
      <c r="AX63" s="36" t="s">
        <v>36</v>
      </c>
      <c r="AY63" s="131" t="s">
        <v>479</v>
      </c>
      <c r="AZ63" s="157" t="s">
        <v>478</v>
      </c>
      <c r="BA63" s="158" t="s">
        <v>502</v>
      </c>
      <c r="BB63" s="140" t="s">
        <v>508</v>
      </c>
      <c r="BC63" s="207" t="s">
        <v>509</v>
      </c>
      <c r="BD63" s="151" t="s">
        <v>560</v>
      </c>
      <c r="BE63" s="140" t="s">
        <v>532</v>
      </c>
      <c r="BF63" s="201" t="s">
        <v>567</v>
      </c>
      <c r="BG63" s="137" t="s">
        <v>233</v>
      </c>
      <c r="BH63" s="270" t="s">
        <v>533</v>
      </c>
      <c r="BI63" s="157" t="s">
        <v>233</v>
      </c>
      <c r="BJ63" s="37"/>
      <c r="BK63" s="134"/>
      <c r="BL63" s="140" t="s">
        <v>568</v>
      </c>
      <c r="BM63" s="131" t="s">
        <v>558</v>
      </c>
      <c r="BN63" s="151" t="s">
        <v>187</v>
      </c>
      <c r="BO63" s="156" t="s">
        <v>558</v>
      </c>
      <c r="BP63" s="131" t="s">
        <v>559</v>
      </c>
      <c r="BQ63" s="176"/>
      <c r="BR63" s="176"/>
      <c r="BS63" s="117" t="s">
        <v>117</v>
      </c>
      <c r="BT63" s="623" t="s">
        <v>588</v>
      </c>
      <c r="BU63" s="162"/>
      <c r="BV63" s="176"/>
      <c r="BW63" s="176"/>
      <c r="BX63" s="133" t="s">
        <v>110</v>
      </c>
      <c r="BY63" s="129"/>
      <c r="BZ63" s="539" t="s">
        <v>138</v>
      </c>
      <c r="CA63" s="129"/>
      <c r="CB63" s="142"/>
      <c r="CC63" s="134"/>
      <c r="CD63" s="162"/>
      <c r="CE63" s="176"/>
      <c r="CF63" s="37"/>
      <c r="CG63" s="129"/>
      <c r="CH63" s="162"/>
      <c r="CI63" s="176"/>
      <c r="CJ63" s="37"/>
      <c r="CK63" s="134" t="s">
        <v>246</v>
      </c>
      <c r="CL63" s="129" t="s">
        <v>247</v>
      </c>
      <c r="CM63" s="129" t="s">
        <v>118</v>
      </c>
      <c r="CN63" s="129" t="s">
        <v>188</v>
      </c>
      <c r="CO63" s="142"/>
      <c r="CP63" s="134"/>
      <c r="CQ63" s="162"/>
      <c r="CR63" s="176"/>
      <c r="CS63" s="37"/>
      <c r="CT63" s="134"/>
      <c r="CU63" s="162"/>
      <c r="CV63" s="176"/>
      <c r="CW63" s="37"/>
      <c r="CX63" s="134"/>
      <c r="CY63" s="129"/>
      <c r="CZ63" s="129"/>
      <c r="DA63" s="129"/>
      <c r="DB63" s="142"/>
      <c r="DC63" s="134"/>
      <c r="DD63" s="162"/>
      <c r="DE63" s="176"/>
      <c r="DF63" s="37"/>
      <c r="DG63" s="134"/>
      <c r="DH63" s="162"/>
      <c r="DI63" s="176"/>
      <c r="DJ63" s="37"/>
      <c r="DK63" s="134"/>
      <c r="DL63" s="129"/>
      <c r="DM63" s="129"/>
      <c r="DN63" s="129"/>
      <c r="DO63" s="142"/>
      <c r="DP63" s="718"/>
    </row>
    <row r="64" spans="1:120" ht="12.75" hidden="1" customHeight="1" outlineLevel="1">
      <c r="A64" s="14"/>
      <c r="B64" s="396"/>
      <c r="C64" s="656"/>
      <c r="D64" s="657"/>
      <c r="E64" s="665"/>
      <c r="F64" s="357" t="s">
        <v>388</v>
      </c>
      <c r="G64" s="649"/>
      <c r="H64" s="483" t="s">
        <v>66</v>
      </c>
      <c r="I64" s="635"/>
      <c r="J64" s="642"/>
      <c r="K64" s="632"/>
      <c r="L64" s="630"/>
      <c r="M64" s="628"/>
      <c r="N64" s="628"/>
      <c r="O64" s="46"/>
      <c r="P64" s="47"/>
      <c r="Q64" s="47"/>
      <c r="R64" s="177"/>
      <c r="S64" s="190"/>
      <c r="T64" s="47"/>
      <c r="U64" s="47"/>
      <c r="V64" s="47"/>
      <c r="W64" s="190"/>
      <c r="X64" s="149" t="s">
        <v>321</v>
      </c>
      <c r="Y64" s="140" t="s">
        <v>302</v>
      </c>
      <c r="Z64" s="201" t="s">
        <v>307</v>
      </c>
      <c r="AA64" s="307" t="s">
        <v>194</v>
      </c>
      <c r="AB64" s="135"/>
      <c r="AC64" s="32" t="s">
        <v>193</v>
      </c>
      <c r="AD64" s="140" t="s">
        <v>325</v>
      </c>
      <c r="AE64" s="177"/>
      <c r="AF64" s="270" t="s">
        <v>342</v>
      </c>
      <c r="AG64" s="149" t="s">
        <v>341</v>
      </c>
      <c r="AH64" s="47"/>
      <c r="AI64" s="47"/>
      <c r="AJ64" s="48"/>
      <c r="AK64" s="56" t="s">
        <v>65</v>
      </c>
      <c r="AL64" s="47"/>
      <c r="AM64" s="47"/>
      <c r="AN64" s="151" t="s">
        <v>300</v>
      </c>
      <c r="AO64" s="149" t="s">
        <v>419</v>
      </c>
      <c r="AP64" s="32" t="s">
        <v>192</v>
      </c>
      <c r="AQ64" s="47"/>
      <c r="AR64" s="290"/>
      <c r="AS64" s="262" t="s">
        <v>65</v>
      </c>
      <c r="AT64" s="155" t="s">
        <v>190</v>
      </c>
      <c r="AU64" s="140" t="s">
        <v>451</v>
      </c>
      <c r="AV64" s="32" t="s">
        <v>73</v>
      </c>
      <c r="AW64" s="262" t="s">
        <v>192</v>
      </c>
      <c r="AX64" s="149" t="s">
        <v>190</v>
      </c>
      <c r="AY64" s="47"/>
      <c r="AZ64" s="509"/>
      <c r="BA64" s="150" t="s">
        <v>52</v>
      </c>
      <c r="BB64" s="47"/>
      <c r="BC64" s="138"/>
      <c r="BD64" s="138"/>
      <c r="BE64" s="177"/>
      <c r="BF64" s="223"/>
      <c r="BG64" s="46"/>
      <c r="BH64" s="138"/>
      <c r="BI64" s="47"/>
      <c r="BJ64" s="48"/>
      <c r="BK64" s="404" t="s">
        <v>96</v>
      </c>
      <c r="BL64" s="427" t="s">
        <v>122</v>
      </c>
      <c r="BM64" s="273" t="s">
        <v>96</v>
      </c>
      <c r="BN64" s="177"/>
      <c r="BO64" s="256" t="s">
        <v>122</v>
      </c>
      <c r="BP64" s="47"/>
      <c r="BQ64" s="47"/>
      <c r="BR64" s="47"/>
      <c r="BS64" s="177"/>
      <c r="BT64" s="46"/>
      <c r="BU64" s="138"/>
      <c r="BV64" s="47"/>
      <c r="BW64" s="177"/>
      <c r="BX64" s="133" t="s">
        <v>119</v>
      </c>
      <c r="BY64" s="47"/>
      <c r="BZ64" s="47"/>
      <c r="CA64" s="47"/>
      <c r="CB64" s="48"/>
      <c r="CC64" s="46"/>
      <c r="CD64" s="138"/>
      <c r="CE64" s="47"/>
      <c r="CF64" s="48"/>
      <c r="CG64" s="47"/>
      <c r="CH64" s="138"/>
      <c r="CI64" s="47"/>
      <c r="CJ64" s="48"/>
      <c r="CK64" s="46"/>
      <c r="CL64" s="47"/>
      <c r="CM64" s="47"/>
      <c r="CN64" s="177"/>
      <c r="CO64" s="48"/>
      <c r="CP64" s="46"/>
      <c r="CQ64" s="138"/>
      <c r="CR64" s="47"/>
      <c r="CS64" s="48"/>
      <c r="CT64" s="46"/>
      <c r="CU64" s="138"/>
      <c r="CV64" s="47"/>
      <c r="CW64" s="48"/>
      <c r="CX64" s="46"/>
      <c r="CY64" s="47"/>
      <c r="CZ64" s="47"/>
      <c r="DA64" s="177"/>
      <c r="DB64" s="48"/>
      <c r="DC64" s="46"/>
      <c r="DD64" s="138"/>
      <c r="DE64" s="47"/>
      <c r="DF64" s="48"/>
      <c r="DG64" s="46"/>
      <c r="DH64" s="138"/>
      <c r="DI64" s="47"/>
      <c r="DJ64" s="48"/>
      <c r="DK64" s="46"/>
      <c r="DL64" s="47"/>
      <c r="DM64" s="47"/>
      <c r="DN64" s="177"/>
      <c r="DO64" s="48"/>
      <c r="DP64" s="718"/>
    </row>
    <row r="65" spans="1:120" ht="12.75" hidden="1" customHeight="1" outlineLevel="1">
      <c r="A65" s="14"/>
      <c r="B65" s="396"/>
      <c r="C65" s="656"/>
      <c r="D65" s="657"/>
      <c r="E65" s="665"/>
      <c r="F65" s="357"/>
      <c r="G65" s="498"/>
      <c r="H65" s="483" t="s">
        <v>534</v>
      </c>
      <c r="I65" s="635"/>
      <c r="J65" s="642"/>
      <c r="K65" s="632"/>
      <c r="L65" s="630"/>
      <c r="M65" s="628"/>
      <c r="N65" s="628"/>
      <c r="O65" s="327"/>
      <c r="P65" s="328"/>
      <c r="Q65" s="328"/>
      <c r="R65" s="330"/>
      <c r="S65" s="286"/>
      <c r="T65" s="328"/>
      <c r="U65" s="328"/>
      <c r="V65" s="330"/>
      <c r="W65" s="286"/>
      <c r="X65" s="332"/>
      <c r="Y65" s="331"/>
      <c r="Z65" s="304"/>
      <c r="AA65" s="330"/>
      <c r="AB65" s="332"/>
      <c r="AC65" s="328"/>
      <c r="AD65" s="331"/>
      <c r="AE65" s="330"/>
      <c r="AF65" s="559"/>
      <c r="AG65" s="332"/>
      <c r="AH65" s="328"/>
      <c r="AI65" s="330"/>
      <c r="AJ65" s="329"/>
      <c r="AK65" s="353"/>
      <c r="AL65" s="328"/>
      <c r="AM65" s="328"/>
      <c r="AN65" s="304"/>
      <c r="AO65" s="332"/>
      <c r="AP65" s="328"/>
      <c r="AQ65" s="328"/>
      <c r="AR65" s="328"/>
      <c r="AS65" s="330"/>
      <c r="AT65" s="546"/>
      <c r="AU65" s="331"/>
      <c r="AV65" s="328"/>
      <c r="AW65" s="330"/>
      <c r="AX65" s="332"/>
      <c r="AY65" s="328"/>
      <c r="AZ65" s="558"/>
      <c r="BA65" s="329"/>
      <c r="BB65" s="328"/>
      <c r="BC65" s="331"/>
      <c r="BD65" s="331"/>
      <c r="BE65" s="328"/>
      <c r="BF65" s="329"/>
      <c r="BG65" s="327"/>
      <c r="BH65" s="331"/>
      <c r="BI65" s="328"/>
      <c r="BJ65" s="560" t="s">
        <v>539</v>
      </c>
      <c r="BK65" s="404" t="s">
        <v>553</v>
      </c>
      <c r="BL65" s="419" t="s">
        <v>554</v>
      </c>
      <c r="BM65" s="356" t="s">
        <v>555</v>
      </c>
      <c r="BN65" s="408" t="s">
        <v>556</v>
      </c>
      <c r="BO65" s="560" t="s">
        <v>557</v>
      </c>
      <c r="BP65" s="334" t="s">
        <v>128</v>
      </c>
      <c r="BQ65" s="331"/>
      <c r="BR65" s="331"/>
      <c r="BS65" s="565" t="s">
        <v>589</v>
      </c>
      <c r="BT65" s="46"/>
      <c r="BU65" s="565" t="s">
        <v>580</v>
      </c>
      <c r="BV65" s="565" t="s">
        <v>581</v>
      </c>
      <c r="BW65" s="565" t="s">
        <v>582</v>
      </c>
      <c r="BX65" s="46"/>
      <c r="BY65" s="47"/>
      <c r="BZ65" s="47"/>
      <c r="CA65" s="47"/>
      <c r="CB65" s="48"/>
      <c r="CC65" s="327"/>
      <c r="CD65" s="331"/>
      <c r="CE65" s="328"/>
      <c r="CF65" s="329"/>
      <c r="CG65" s="328"/>
      <c r="CH65" s="331"/>
      <c r="CI65" s="328"/>
      <c r="CJ65" s="329"/>
      <c r="CK65" s="327"/>
      <c r="CL65" s="328"/>
      <c r="CM65" s="328"/>
      <c r="CN65" s="330"/>
      <c r="CO65" s="329"/>
      <c r="CP65" s="327"/>
      <c r="CQ65" s="331"/>
      <c r="CR65" s="328"/>
      <c r="CS65" s="329"/>
      <c r="CT65" s="327"/>
      <c r="CU65" s="331"/>
      <c r="CV65" s="328"/>
      <c r="CW65" s="329"/>
      <c r="CX65" s="327"/>
      <c r="CY65" s="328"/>
      <c r="CZ65" s="328"/>
      <c r="DA65" s="330"/>
      <c r="DB65" s="329"/>
      <c r="DC65" s="327"/>
      <c r="DD65" s="331"/>
      <c r="DE65" s="328"/>
      <c r="DF65" s="329"/>
      <c r="DG65" s="327"/>
      <c r="DH65" s="331"/>
      <c r="DI65" s="328"/>
      <c r="DJ65" s="329"/>
      <c r="DK65" s="327"/>
      <c r="DL65" s="328"/>
      <c r="DM65" s="328"/>
      <c r="DN65" s="330"/>
      <c r="DO65" s="329"/>
      <c r="DP65" s="718"/>
    </row>
    <row r="66" spans="1:120" ht="12.75" hidden="1" customHeight="1" outlineLevel="1">
      <c r="A66" s="14"/>
      <c r="B66" s="396"/>
      <c r="C66" s="656"/>
      <c r="D66" s="657"/>
      <c r="E66" s="665"/>
      <c r="F66" s="225" t="s">
        <v>0</v>
      </c>
      <c r="G66" s="649" t="str">
        <f>G62</f>
        <v>Setting phase</v>
      </c>
      <c r="H66" s="484" t="s">
        <v>129</v>
      </c>
      <c r="I66" s="635"/>
      <c r="J66" s="642"/>
      <c r="K66" s="632"/>
      <c r="L66" s="630"/>
      <c r="M66" s="628"/>
      <c r="N66" s="628"/>
      <c r="O66" s="218"/>
      <c r="P66" s="242"/>
      <c r="Q66" s="242"/>
      <c r="R66" s="242"/>
      <c r="S66" s="244"/>
      <c r="T66" s="242"/>
      <c r="U66" s="242"/>
      <c r="V66" s="245"/>
      <c r="W66" s="244"/>
      <c r="X66" s="218"/>
      <c r="Y66" s="276" t="s">
        <v>303</v>
      </c>
      <c r="Z66" s="198" t="s">
        <v>27</v>
      </c>
      <c r="AA66" s="245"/>
      <c r="AB66" s="218"/>
      <c r="AC66" s="242"/>
      <c r="AD66" s="242"/>
      <c r="AE66" s="245"/>
      <c r="AF66" s="305"/>
      <c r="AG66" s="351" t="s">
        <v>360</v>
      </c>
      <c r="AH66" s="198" t="s">
        <v>26</v>
      </c>
      <c r="AI66" s="245"/>
      <c r="AJ66" s="244"/>
      <c r="AK66" s="242"/>
      <c r="AL66" s="242"/>
      <c r="AM66" s="242"/>
      <c r="AN66" s="246"/>
      <c r="AO66" s="218"/>
      <c r="AP66" s="242"/>
      <c r="AQ66" s="242"/>
      <c r="AR66" s="242"/>
      <c r="AS66" s="305"/>
      <c r="AT66" s="351" t="s">
        <v>437</v>
      </c>
      <c r="AU66" s="242"/>
      <c r="AV66" s="282" t="s">
        <v>455</v>
      </c>
      <c r="AW66" s="315" t="s">
        <v>468</v>
      </c>
      <c r="AX66" s="218"/>
      <c r="AY66" s="242"/>
      <c r="AZ66" s="242"/>
      <c r="BA66" s="246"/>
      <c r="BB66" s="242"/>
      <c r="BC66" s="251"/>
      <c r="BD66" s="251"/>
      <c r="BE66" s="352" t="s">
        <v>543</v>
      </c>
      <c r="BF66" s="245"/>
      <c r="BG66" s="414"/>
      <c r="BH66" s="210" t="s">
        <v>548</v>
      </c>
      <c r="BI66" s="282" t="s">
        <v>562</v>
      </c>
      <c r="BJ66" s="263" t="s">
        <v>511</v>
      </c>
      <c r="BK66" s="294" t="s">
        <v>563</v>
      </c>
      <c r="BL66" s="83" t="s">
        <v>128</v>
      </c>
      <c r="BM66" s="282" t="s">
        <v>511</v>
      </c>
      <c r="BN66" s="282" t="s">
        <v>512</v>
      </c>
      <c r="BO66" s="557" t="s">
        <v>512</v>
      </c>
      <c r="BP66" s="282" t="s">
        <v>579</v>
      </c>
      <c r="BQ66" s="334" t="s">
        <v>511</v>
      </c>
      <c r="BR66" s="334" t="s">
        <v>513</v>
      </c>
      <c r="BS66" s="245"/>
      <c r="BT66" s="435" t="s">
        <v>14</v>
      </c>
      <c r="BU66" s="242"/>
      <c r="BV66" s="242"/>
      <c r="BW66" s="245"/>
      <c r="BX66" s="219" t="s">
        <v>109</v>
      </c>
      <c r="BY66" s="376" t="s">
        <v>109</v>
      </c>
      <c r="BZ66" s="376" t="s">
        <v>109</v>
      </c>
      <c r="CA66" s="376" t="s">
        <v>109</v>
      </c>
      <c r="CB66" s="287" t="s">
        <v>42</v>
      </c>
      <c r="CC66" s="218"/>
      <c r="CD66" s="242"/>
      <c r="CE66" s="242"/>
      <c r="CF66" s="246"/>
      <c r="CG66" s="242"/>
      <c r="CH66" s="242"/>
      <c r="CI66" s="242"/>
      <c r="CJ66" s="246"/>
      <c r="CK66" s="218"/>
      <c r="CL66" s="242"/>
      <c r="CM66" s="242"/>
      <c r="CN66" s="245"/>
      <c r="CO66" s="373"/>
      <c r="CP66" s="218"/>
      <c r="CQ66" s="242"/>
      <c r="CR66" s="242"/>
      <c r="CS66" s="246"/>
      <c r="CT66" s="218"/>
      <c r="CU66" s="242"/>
      <c r="CV66" s="242"/>
      <c r="CW66" s="246"/>
      <c r="CX66" s="218"/>
      <c r="CY66" s="242"/>
      <c r="CZ66" s="242"/>
      <c r="DA66" s="245"/>
      <c r="DB66" s="373"/>
      <c r="DC66" s="218"/>
      <c r="DD66" s="242"/>
      <c r="DE66" s="242"/>
      <c r="DF66" s="246"/>
      <c r="DG66" s="218"/>
      <c r="DH66" s="242"/>
      <c r="DI66" s="242"/>
      <c r="DJ66" s="246"/>
      <c r="DK66" s="218"/>
      <c r="DL66" s="242"/>
      <c r="DM66" s="242"/>
      <c r="DN66" s="245"/>
      <c r="DO66" s="373"/>
      <c r="DP66" s="718"/>
    </row>
    <row r="67" spans="1:120" ht="12.75" hidden="1" customHeight="1" outlineLevel="1">
      <c r="A67" s="14"/>
      <c r="B67" s="396"/>
      <c r="C67" s="656"/>
      <c r="D67" s="657"/>
      <c r="E67" s="665"/>
      <c r="F67" s="225" t="s">
        <v>0</v>
      </c>
      <c r="G67" s="649"/>
      <c r="H67" s="609" t="s">
        <v>130</v>
      </c>
      <c r="I67" s="635"/>
      <c r="J67" s="642"/>
      <c r="K67" s="632"/>
      <c r="L67" s="630"/>
      <c r="M67" s="629"/>
      <c r="N67" s="628"/>
      <c r="O67" s="278"/>
      <c r="P67" s="279"/>
      <c r="Q67" s="279"/>
      <c r="R67" s="64"/>
      <c r="S67" s="243"/>
      <c r="T67" s="146"/>
      <c r="U67" s="72"/>
      <c r="V67" s="338"/>
      <c r="W67" s="277"/>
      <c r="X67" s="278"/>
      <c r="Y67" s="279"/>
      <c r="Z67" s="279"/>
      <c r="AA67" s="185" t="s">
        <v>121</v>
      </c>
      <c r="AB67" s="278"/>
      <c r="AC67" s="279"/>
      <c r="AD67" s="279"/>
      <c r="AE67" s="474" t="s">
        <v>38</v>
      </c>
      <c r="AF67" s="437">
        <v>0.39</v>
      </c>
      <c r="AG67" s="146"/>
      <c r="AH67" s="72"/>
      <c r="AI67" s="345" t="s">
        <v>38</v>
      </c>
      <c r="AJ67" s="424">
        <v>0.4</v>
      </c>
      <c r="AK67" s="279"/>
      <c r="AL67" s="437">
        <v>0.4</v>
      </c>
      <c r="AM67" s="474" t="s">
        <v>162</v>
      </c>
      <c r="AN67" s="277"/>
      <c r="AO67" s="278"/>
      <c r="AP67" s="279"/>
      <c r="AQ67" s="279"/>
      <c r="AR67" s="519" t="s">
        <v>412</v>
      </c>
      <c r="AS67" s="437">
        <v>0.4</v>
      </c>
      <c r="AT67" s="278"/>
      <c r="AU67" s="279"/>
      <c r="AV67" s="519" t="s">
        <v>171</v>
      </c>
      <c r="AW67" s="322"/>
      <c r="AX67" s="278"/>
      <c r="AY67" s="279"/>
      <c r="AZ67" s="519" t="s">
        <v>201</v>
      </c>
      <c r="BA67" s="277"/>
      <c r="BB67" s="279"/>
      <c r="BC67" s="279"/>
      <c r="BD67" s="279"/>
      <c r="BE67" s="568" t="s">
        <v>229</v>
      </c>
      <c r="BF67" s="322"/>
      <c r="BG67" s="146"/>
      <c r="BH67" s="72"/>
      <c r="BI67" s="568" t="s">
        <v>201</v>
      </c>
      <c r="BJ67" s="277"/>
      <c r="BK67" s="278"/>
      <c r="BL67" s="72"/>
      <c r="BM67" s="338"/>
      <c r="BN67" s="568" t="s">
        <v>241</v>
      </c>
      <c r="BO67" s="277"/>
      <c r="BP67" s="72"/>
      <c r="BQ67" s="72"/>
      <c r="BR67" s="340" t="s">
        <v>171</v>
      </c>
      <c r="BS67" s="322"/>
      <c r="BT67" s="146"/>
      <c r="BU67" s="72"/>
      <c r="BV67" s="340" t="s">
        <v>171</v>
      </c>
      <c r="BW67" s="322"/>
      <c r="BX67" s="280"/>
      <c r="BY67" s="153"/>
      <c r="BZ67" s="368"/>
      <c r="CA67" s="153"/>
      <c r="CB67" s="250"/>
      <c r="CC67" s="146"/>
      <c r="CD67" s="72"/>
      <c r="CE67" s="338"/>
      <c r="CF67" s="277"/>
      <c r="CG67" s="72"/>
      <c r="CH67" s="72"/>
      <c r="CI67" s="338"/>
      <c r="CJ67" s="277"/>
      <c r="CK67" s="278"/>
      <c r="CL67" s="72"/>
      <c r="CM67" s="338"/>
      <c r="CN67" s="247"/>
      <c r="CO67" s="374"/>
      <c r="CP67" s="146"/>
      <c r="CQ67" s="72"/>
      <c r="CR67" s="338"/>
      <c r="CS67" s="277"/>
      <c r="CT67" s="146"/>
      <c r="CU67" s="72"/>
      <c r="CV67" s="338"/>
      <c r="CW67" s="277"/>
      <c r="CX67" s="278"/>
      <c r="CY67" s="72"/>
      <c r="CZ67" s="338"/>
      <c r="DA67" s="247"/>
      <c r="DB67" s="374"/>
      <c r="DC67" s="146"/>
      <c r="DD67" s="72"/>
      <c r="DE67" s="338"/>
      <c r="DF67" s="277"/>
      <c r="DG67" s="146"/>
      <c r="DH67" s="72"/>
      <c r="DI67" s="338"/>
      <c r="DJ67" s="277"/>
      <c r="DK67" s="278"/>
      <c r="DL67" s="72"/>
      <c r="DM67" s="338"/>
      <c r="DN67" s="247"/>
      <c r="DO67" s="374"/>
      <c r="DP67" s="719"/>
    </row>
    <row r="68" spans="1:120" ht="12.75" hidden="1" customHeight="1" outlineLevel="1">
      <c r="A68" s="14"/>
      <c r="B68" s="396"/>
      <c r="C68" s="656"/>
      <c r="D68" s="657"/>
      <c r="E68" s="665"/>
      <c r="F68" s="225" t="s">
        <v>0</v>
      </c>
      <c r="G68" s="498"/>
      <c r="H68" s="484" t="s">
        <v>157</v>
      </c>
      <c r="I68" s="635"/>
      <c r="J68" s="642"/>
      <c r="K68" s="632"/>
      <c r="L68" s="630"/>
      <c r="M68" s="629"/>
      <c r="N68" s="628"/>
      <c r="O68" s="154"/>
      <c r="P68" s="153"/>
      <c r="Q68" s="153"/>
      <c r="R68" s="200"/>
      <c r="S68" s="248"/>
      <c r="T68" s="153"/>
      <c r="U68" s="153"/>
      <c r="V68" s="249"/>
      <c r="W68" s="248"/>
      <c r="X68" s="154"/>
      <c r="Y68" s="303" t="s">
        <v>296</v>
      </c>
      <c r="Z68" s="153"/>
      <c r="AA68" s="249"/>
      <c r="AB68" s="146"/>
      <c r="AC68" s="72"/>
      <c r="AD68" s="72"/>
      <c r="AE68" s="249"/>
      <c r="AF68" s="310"/>
      <c r="AG68" s="154"/>
      <c r="AH68" s="153"/>
      <c r="AI68" s="249"/>
      <c r="AJ68" s="248"/>
      <c r="AK68" s="153"/>
      <c r="AL68" s="153"/>
      <c r="AM68" s="153"/>
      <c r="AN68" s="153"/>
      <c r="AO68" s="154"/>
      <c r="AP68" s="153"/>
      <c r="AQ68" s="153"/>
      <c r="AR68" s="249"/>
      <c r="AS68" s="310"/>
      <c r="AT68" s="154"/>
      <c r="AU68" s="153"/>
      <c r="AV68" s="153"/>
      <c r="AW68" s="249"/>
      <c r="AX68" s="146"/>
      <c r="AY68" s="153"/>
      <c r="AZ68" s="153"/>
      <c r="BA68" s="250"/>
      <c r="BB68" s="72"/>
      <c r="BC68" s="153"/>
      <c r="BD68" s="153"/>
      <c r="BE68" s="153"/>
      <c r="BF68" s="249"/>
      <c r="BG68" s="154"/>
      <c r="BH68" s="153"/>
      <c r="BI68" s="153"/>
      <c r="BJ68" s="250"/>
      <c r="BK68" s="146"/>
      <c r="BL68" s="153"/>
      <c r="BM68" s="72"/>
      <c r="BN68" s="153"/>
      <c r="BO68" s="250"/>
      <c r="BP68" s="570" t="s">
        <v>297</v>
      </c>
      <c r="BQ68" s="153"/>
      <c r="BR68" s="153"/>
      <c r="BS68" s="347" t="s">
        <v>160</v>
      </c>
      <c r="BT68" s="253" t="s">
        <v>152</v>
      </c>
      <c r="BU68" s="72"/>
      <c r="BV68" s="72"/>
      <c r="BW68" s="247"/>
      <c r="BX68" s="619" t="s">
        <v>160</v>
      </c>
      <c r="BY68" s="240" t="s">
        <v>152</v>
      </c>
      <c r="BZ68" s="72"/>
      <c r="CA68" s="72"/>
      <c r="CB68" s="349" t="s">
        <v>153</v>
      </c>
      <c r="CC68" s="154"/>
      <c r="CD68" s="153"/>
      <c r="CE68" s="153"/>
      <c r="CF68" s="136"/>
      <c r="CG68" s="153"/>
      <c r="CH68" s="153"/>
      <c r="CI68" s="153"/>
      <c r="CJ68" s="247"/>
      <c r="CK68" s="146"/>
      <c r="CL68" s="153"/>
      <c r="CM68" s="72"/>
      <c r="CN68" s="247"/>
      <c r="CO68" s="250"/>
      <c r="CP68" s="154"/>
      <c r="CQ68" s="153"/>
      <c r="CR68" s="153"/>
      <c r="CS68" s="247"/>
      <c r="CT68" s="154"/>
      <c r="CU68" s="153"/>
      <c r="CV68" s="153"/>
      <c r="CW68" s="247"/>
      <c r="CX68" s="146"/>
      <c r="CY68" s="153"/>
      <c r="CZ68" s="72"/>
      <c r="DA68" s="247"/>
      <c r="DB68" s="250"/>
      <c r="DC68" s="154"/>
      <c r="DD68" s="153"/>
      <c r="DE68" s="153"/>
      <c r="DF68" s="247"/>
      <c r="DG68" s="154"/>
      <c r="DH68" s="153"/>
      <c r="DI68" s="153"/>
      <c r="DJ68" s="247"/>
      <c r="DK68" s="146"/>
      <c r="DL68" s="153"/>
      <c r="DM68" s="72"/>
      <c r="DN68" s="247"/>
      <c r="DO68" s="250"/>
      <c r="DP68" s="241" t="s">
        <v>298</v>
      </c>
    </row>
    <row r="69" spans="1:120" ht="12.75" hidden="1" customHeight="1" outlineLevel="1">
      <c r="A69" s="14"/>
      <c r="B69" s="396"/>
      <c r="C69" s="658"/>
      <c r="D69" s="659"/>
      <c r="E69" s="666"/>
      <c r="F69" s="359" t="s">
        <v>0</v>
      </c>
      <c r="G69" s="552"/>
      <c r="H69" s="489" t="s">
        <v>39</v>
      </c>
      <c r="I69" s="101">
        <v>1018768.35</v>
      </c>
      <c r="J69" s="102"/>
      <c r="K69" s="103"/>
      <c r="L69" s="128">
        <v>4700033881</v>
      </c>
      <c r="M69" s="439"/>
      <c r="N69" s="439"/>
      <c r="O69" s="84"/>
      <c r="P69" s="39"/>
      <c r="Q69" s="407"/>
      <c r="R69" s="184"/>
      <c r="S69" s="193"/>
      <c r="T69" s="39"/>
      <c r="U69" s="468"/>
      <c r="V69" s="184"/>
      <c r="W69" s="193"/>
      <c r="X69" s="84"/>
      <c r="Y69" s="213" t="s">
        <v>299</v>
      </c>
      <c r="Z69" s="39"/>
      <c r="AA69" s="213" t="s">
        <v>70</v>
      </c>
      <c r="AB69" s="84"/>
      <c r="AC69" s="422"/>
      <c r="AD69" s="553"/>
      <c r="AE69" s="554"/>
      <c r="AF69" s="472"/>
      <c r="AG69" s="38"/>
      <c r="AH69" s="468"/>
      <c r="AI69" s="184"/>
      <c r="AJ69" s="193"/>
      <c r="AK69" s="422"/>
      <c r="AL69" s="39"/>
      <c r="AM69" s="40"/>
      <c r="AN69" s="39"/>
      <c r="AO69" s="84"/>
      <c r="AP69" s="39"/>
      <c r="AQ69" s="407"/>
      <c r="AR69" s="39"/>
      <c r="AS69" s="184"/>
      <c r="AT69" s="38"/>
      <c r="AU69" s="40"/>
      <c r="AV69" s="39"/>
      <c r="AW69" s="184"/>
      <c r="AX69" s="38"/>
      <c r="AY69" s="40"/>
      <c r="AZ69" s="39"/>
      <c r="BA69" s="41"/>
      <c r="BB69" s="422"/>
      <c r="BC69" s="39"/>
      <c r="BD69" s="407"/>
      <c r="BE69" s="39"/>
      <c r="BF69" s="184"/>
      <c r="BG69" s="38"/>
      <c r="BH69" s="40"/>
      <c r="BI69" s="39"/>
      <c r="BJ69" s="41"/>
      <c r="BK69" s="84"/>
      <c r="BL69" s="39"/>
      <c r="BM69" s="407"/>
      <c r="BN69" s="407"/>
      <c r="BO69" s="41"/>
      <c r="BP69" s="562" t="s">
        <v>46</v>
      </c>
      <c r="BQ69" s="40"/>
      <c r="BR69" s="39"/>
      <c r="BS69" s="41"/>
      <c r="BT69" s="381" t="s">
        <v>46</v>
      </c>
      <c r="BU69" s="40"/>
      <c r="BV69" s="39"/>
      <c r="BW69" s="184"/>
      <c r="BX69" s="624" t="s">
        <v>71</v>
      </c>
      <c r="BY69" s="39"/>
      <c r="BZ69" s="407"/>
      <c r="CA69" s="407"/>
      <c r="CB69" s="41"/>
      <c r="CC69" s="38"/>
      <c r="CD69" s="40"/>
      <c r="CE69" s="39"/>
      <c r="CF69" s="41" t="s">
        <v>45</v>
      </c>
      <c r="CG69" s="39"/>
      <c r="CH69" s="40"/>
      <c r="CI69" s="39"/>
      <c r="CJ69" s="625" t="s">
        <v>55</v>
      </c>
      <c r="CK69" s="84"/>
      <c r="CL69" s="39"/>
      <c r="CM69" s="407"/>
      <c r="CN69" s="407"/>
      <c r="CO69" s="41"/>
      <c r="CP69" s="40"/>
      <c r="CQ69" s="40"/>
      <c r="CR69" s="39"/>
      <c r="CS69" s="41"/>
      <c r="CT69" s="40"/>
      <c r="CU69" s="40"/>
      <c r="CV69" s="39"/>
      <c r="CW69" s="41"/>
      <c r="CX69" s="84"/>
      <c r="CY69" s="39"/>
      <c r="CZ69" s="407"/>
      <c r="DA69" s="407"/>
      <c r="DB69" s="41"/>
      <c r="DC69" s="40"/>
      <c r="DD69" s="40"/>
      <c r="DE69" s="39"/>
      <c r="DF69" s="41"/>
      <c r="DG69" s="40"/>
      <c r="DH69" s="40"/>
      <c r="DI69" s="39"/>
      <c r="DJ69" s="41"/>
      <c r="DK69" s="84"/>
      <c r="DL69" s="39"/>
      <c r="DM69" s="407"/>
      <c r="DN69" s="407"/>
      <c r="DO69" s="41"/>
      <c r="DP69" s="423" t="s">
        <v>309</v>
      </c>
    </row>
    <row r="70" spans="1:120" ht="12.75" hidden="1" customHeight="1" outlineLevel="1">
      <c r="A70" s="14"/>
      <c r="B70" s="396"/>
      <c r="C70" s="656"/>
      <c r="D70" s="657"/>
      <c r="E70" s="630"/>
      <c r="F70" s="42" t="s">
        <v>223</v>
      </c>
      <c r="G70" s="649"/>
      <c r="H70" s="482" t="s">
        <v>31</v>
      </c>
      <c r="I70" s="635"/>
      <c r="J70" s="642"/>
      <c r="K70" s="632"/>
      <c r="L70" s="630"/>
      <c r="M70" s="628"/>
      <c r="N70" s="628"/>
      <c r="O70" s="131" t="s">
        <v>242</v>
      </c>
      <c r="P70" s="35"/>
      <c r="Q70" s="35"/>
      <c r="R70" s="35"/>
      <c r="S70" s="35"/>
      <c r="T70" s="34"/>
      <c r="U70" s="35"/>
      <c r="V70" s="35"/>
      <c r="W70" s="37"/>
      <c r="X70" s="34"/>
      <c r="Y70" s="35"/>
      <c r="Z70" s="35"/>
      <c r="AA70" s="35"/>
      <c r="AB70" s="161" t="s">
        <v>277</v>
      </c>
      <c r="AC70" s="35"/>
      <c r="AD70" s="35"/>
      <c r="AE70" s="35"/>
      <c r="AF70" s="37"/>
      <c r="AG70" s="34"/>
      <c r="AH70" s="35"/>
      <c r="AI70" s="35"/>
      <c r="AJ70" s="176"/>
      <c r="AK70" s="34"/>
      <c r="AL70" s="35"/>
      <c r="AM70" s="35"/>
      <c r="AN70" s="37"/>
      <c r="AO70" s="34"/>
      <c r="AP70" s="35"/>
      <c r="AQ70" s="35"/>
      <c r="AR70" s="35"/>
      <c r="AS70" s="37"/>
      <c r="AT70" s="34"/>
      <c r="AU70" s="35"/>
      <c r="AV70" s="35"/>
      <c r="AW70" s="201" t="s">
        <v>464</v>
      </c>
      <c r="AX70" s="133" t="s">
        <v>465</v>
      </c>
      <c r="AY70" s="35"/>
      <c r="AZ70" s="35"/>
      <c r="BA70" s="37"/>
      <c r="BB70" s="133" t="s">
        <v>466</v>
      </c>
      <c r="BC70" s="117" t="s">
        <v>460</v>
      </c>
      <c r="BD70" s="35"/>
      <c r="BE70" s="35"/>
      <c r="BF70" s="37"/>
      <c r="BG70" s="34"/>
      <c r="BH70" s="35"/>
      <c r="BI70" s="35"/>
      <c r="BJ70" s="176"/>
      <c r="BK70" s="34"/>
      <c r="BL70" s="35"/>
      <c r="BM70" s="151" t="s">
        <v>584</v>
      </c>
      <c r="BN70" s="35"/>
      <c r="BO70" s="37"/>
      <c r="BP70" s="34"/>
      <c r="BQ70" s="35"/>
      <c r="BR70" s="35"/>
      <c r="BS70" s="176"/>
      <c r="BT70" s="34"/>
      <c r="BU70" s="35"/>
      <c r="BV70" s="35"/>
      <c r="BW70" s="208" t="s">
        <v>461</v>
      </c>
      <c r="BX70" s="34"/>
      <c r="BY70" s="35"/>
      <c r="BZ70" s="129"/>
      <c r="CA70" s="117" t="s">
        <v>462</v>
      </c>
      <c r="CB70" s="203"/>
      <c r="CC70" s="34"/>
      <c r="CD70" s="35"/>
      <c r="CE70" s="35"/>
      <c r="CF70" s="37"/>
      <c r="CG70" s="35"/>
      <c r="CH70" s="35"/>
      <c r="CI70" s="35"/>
      <c r="CJ70" s="176"/>
      <c r="CK70" s="34"/>
      <c r="CL70" s="35"/>
      <c r="CM70" s="35"/>
      <c r="CN70" s="35"/>
      <c r="CO70" s="37"/>
      <c r="CP70" s="34"/>
      <c r="CQ70" s="35"/>
      <c r="CR70" s="35"/>
      <c r="CS70" s="176"/>
      <c r="CT70" s="34"/>
      <c r="CU70" s="35"/>
      <c r="CV70" s="35"/>
      <c r="CW70" s="176"/>
      <c r="CX70" s="34"/>
      <c r="CY70" s="35"/>
      <c r="CZ70" s="35"/>
      <c r="DA70" s="35"/>
      <c r="DB70" s="37"/>
      <c r="DC70" s="34"/>
      <c r="DD70" s="35"/>
      <c r="DE70" s="35"/>
      <c r="DF70" s="176"/>
      <c r="DG70" s="34"/>
      <c r="DH70" s="35"/>
      <c r="DI70" s="35"/>
      <c r="DJ70" s="176"/>
      <c r="DK70" s="34"/>
      <c r="DL70" s="35"/>
      <c r="DM70" s="35"/>
      <c r="DN70" s="35"/>
      <c r="DO70" s="37"/>
      <c r="DP70" s="718"/>
    </row>
    <row r="71" spans="1:120" ht="12.75" hidden="1" customHeight="1" outlineLevel="1">
      <c r="A71" s="14"/>
      <c r="B71" s="396"/>
      <c r="C71" s="656"/>
      <c r="D71" s="657"/>
      <c r="E71" s="630"/>
      <c r="F71" s="45" t="s">
        <v>93</v>
      </c>
      <c r="G71" s="649"/>
      <c r="H71" s="483" t="s">
        <v>66</v>
      </c>
      <c r="I71" s="635"/>
      <c r="J71" s="642"/>
      <c r="K71" s="632"/>
      <c r="L71" s="630"/>
      <c r="M71" s="628"/>
      <c r="N71" s="628"/>
      <c r="O71" s="46"/>
      <c r="P71" s="47"/>
      <c r="Q71" s="47"/>
      <c r="R71" s="47"/>
      <c r="S71" s="47"/>
      <c r="T71" s="46"/>
      <c r="U71" s="47"/>
      <c r="V71" s="47"/>
      <c r="W71" s="48"/>
      <c r="X71" s="46"/>
      <c r="Y71" s="47"/>
      <c r="Z71" s="47"/>
      <c r="AA71" s="47"/>
      <c r="AB71" s="46"/>
      <c r="AC71" s="47"/>
      <c r="AD71" s="47"/>
      <c r="AE71" s="47"/>
      <c r="AF71" s="48"/>
      <c r="AG71" s="46"/>
      <c r="AH71" s="47"/>
      <c r="AI71" s="47"/>
      <c r="AJ71" s="177"/>
      <c r="AK71" s="46"/>
      <c r="AL71" s="47"/>
      <c r="AM71" s="47"/>
      <c r="AN71" s="48"/>
      <c r="AO71" s="46"/>
      <c r="AP71" s="47"/>
      <c r="AQ71" s="47"/>
      <c r="AR71" s="47"/>
      <c r="AS71" s="48"/>
      <c r="AT71" s="46"/>
      <c r="AU71" s="47"/>
      <c r="AV71" s="47"/>
      <c r="AW71" s="177"/>
      <c r="AX71" s="46"/>
      <c r="AY71" s="47"/>
      <c r="AZ71" s="47"/>
      <c r="BA71" s="48"/>
      <c r="BB71" s="46"/>
      <c r="BC71" s="47"/>
      <c r="BD71" s="47"/>
      <c r="BE71" s="47"/>
      <c r="BF71" s="48"/>
      <c r="BG71" s="46"/>
      <c r="BH71" s="47"/>
      <c r="BI71" s="47"/>
      <c r="BJ71" s="177"/>
      <c r="BK71" s="46"/>
      <c r="BL71" s="47"/>
      <c r="BM71" s="47"/>
      <c r="BN71" s="47"/>
      <c r="BO71" s="48"/>
      <c r="BP71" s="46"/>
      <c r="BQ71" s="47"/>
      <c r="BR71" s="47"/>
      <c r="BS71" s="177"/>
      <c r="BT71" s="46"/>
      <c r="BU71" s="47"/>
      <c r="BV71" s="47"/>
      <c r="BW71" s="177"/>
      <c r="BX71" s="46"/>
      <c r="BY71" s="47"/>
      <c r="BZ71" s="47"/>
      <c r="CA71" s="47"/>
      <c r="CB71" s="177"/>
      <c r="CC71" s="46"/>
      <c r="CD71" s="47"/>
      <c r="CE71" s="47"/>
      <c r="CF71" s="48"/>
      <c r="CG71" s="47"/>
      <c r="CH71" s="47"/>
      <c r="CI71" s="47"/>
      <c r="CJ71" s="177"/>
      <c r="CK71" s="46"/>
      <c r="CL71" s="47"/>
      <c r="CM71" s="47"/>
      <c r="CN71" s="47"/>
      <c r="CO71" s="48"/>
      <c r="CP71" s="46"/>
      <c r="CQ71" s="47"/>
      <c r="CR71" s="47"/>
      <c r="CS71" s="177"/>
      <c r="CT71" s="46"/>
      <c r="CU71" s="47"/>
      <c r="CV71" s="47"/>
      <c r="CW71" s="177"/>
      <c r="CX71" s="46"/>
      <c r="CY71" s="47"/>
      <c r="CZ71" s="47"/>
      <c r="DA71" s="47"/>
      <c r="DB71" s="48"/>
      <c r="DC71" s="46"/>
      <c r="DD71" s="47"/>
      <c r="DE71" s="47"/>
      <c r="DF71" s="177"/>
      <c r="DG71" s="46"/>
      <c r="DH71" s="47"/>
      <c r="DI71" s="47"/>
      <c r="DJ71" s="177"/>
      <c r="DK71" s="46"/>
      <c r="DL71" s="47"/>
      <c r="DM71" s="47"/>
      <c r="DN71" s="47"/>
      <c r="DO71" s="48"/>
      <c r="DP71" s="719"/>
    </row>
    <row r="72" spans="1:120" ht="12.75" hidden="1" customHeight="1" outlineLevel="1">
      <c r="A72" s="14"/>
      <c r="B72" s="396"/>
      <c r="C72" s="656"/>
      <c r="D72" s="657"/>
      <c r="E72" s="630"/>
      <c r="F72" s="225" t="s">
        <v>0</v>
      </c>
      <c r="G72" s="649" t="e">
        <f>#REF!</f>
        <v>#REF!</v>
      </c>
      <c r="H72" s="484" t="s">
        <v>129</v>
      </c>
      <c r="I72" s="635"/>
      <c r="J72" s="642"/>
      <c r="K72" s="632"/>
      <c r="L72" s="630"/>
      <c r="M72" s="628"/>
      <c r="N72" s="628"/>
      <c r="O72" s="174"/>
      <c r="P72" s="64"/>
      <c r="Q72" s="64"/>
      <c r="R72" s="64"/>
      <c r="S72" s="424"/>
      <c r="T72" s="174"/>
      <c r="U72" s="64"/>
      <c r="V72" s="64"/>
      <c r="W72" s="81"/>
      <c r="X72" s="174"/>
      <c r="Y72" s="64"/>
      <c r="Z72" s="64"/>
      <c r="AA72" s="64"/>
      <c r="AB72" s="174"/>
      <c r="AC72" s="64"/>
      <c r="AD72" s="64"/>
      <c r="AE72" s="64"/>
      <c r="AF72" s="81"/>
      <c r="AG72" s="174"/>
      <c r="AH72" s="64"/>
      <c r="AI72" s="64"/>
      <c r="AJ72" s="178"/>
      <c r="AK72" s="174"/>
      <c r="AL72" s="64"/>
      <c r="AM72" s="64"/>
      <c r="AN72" s="81"/>
      <c r="AO72" s="174"/>
      <c r="AP72" s="64"/>
      <c r="AQ72" s="64"/>
      <c r="AR72" s="64"/>
      <c r="AS72" s="81"/>
      <c r="AT72" s="174"/>
      <c r="AU72" s="64"/>
      <c r="AV72" s="64"/>
      <c r="AW72" s="178"/>
      <c r="AX72" s="174"/>
      <c r="AY72" s="64"/>
      <c r="AZ72" s="64"/>
      <c r="BA72" s="81"/>
      <c r="BB72" s="174"/>
      <c r="BC72" s="64"/>
      <c r="BD72" s="64"/>
      <c r="BE72" s="64"/>
      <c r="BF72" s="81"/>
      <c r="BG72" s="174"/>
      <c r="BH72" s="64"/>
      <c r="BI72" s="64"/>
      <c r="BJ72" s="178"/>
      <c r="BK72" s="174"/>
      <c r="BL72" s="64"/>
      <c r="BM72" s="64"/>
      <c r="BN72" s="64"/>
      <c r="BO72" s="81"/>
      <c r="BP72" s="174"/>
      <c r="BQ72" s="64"/>
      <c r="BR72" s="64"/>
      <c r="BS72" s="178"/>
      <c r="BT72" s="174"/>
      <c r="BU72" s="64"/>
      <c r="BV72" s="64"/>
      <c r="BW72" s="178"/>
      <c r="BX72" s="174"/>
      <c r="BY72" s="64"/>
      <c r="BZ72" s="64"/>
      <c r="CA72" s="64"/>
      <c r="CB72" s="178"/>
      <c r="CC72" s="174"/>
      <c r="CD72" s="64"/>
      <c r="CE72" s="64"/>
      <c r="CF72" s="81"/>
      <c r="CG72" s="65"/>
      <c r="CH72" s="64"/>
      <c r="CI72" s="64"/>
      <c r="CJ72" s="178"/>
      <c r="CK72" s="174"/>
      <c r="CL72" s="64"/>
      <c r="CM72" s="64"/>
      <c r="CN72" s="64"/>
      <c r="CO72" s="81"/>
      <c r="CP72" s="174"/>
      <c r="CQ72" s="64"/>
      <c r="CR72" s="64"/>
      <c r="CS72" s="178"/>
      <c r="CT72" s="174"/>
      <c r="CU72" s="64"/>
      <c r="CV72" s="64"/>
      <c r="CW72" s="178"/>
      <c r="CX72" s="174"/>
      <c r="CY72" s="64"/>
      <c r="CZ72" s="64"/>
      <c r="DA72" s="64"/>
      <c r="DB72" s="81"/>
      <c r="DC72" s="174"/>
      <c r="DD72" s="64"/>
      <c r="DE72" s="64"/>
      <c r="DF72" s="178"/>
      <c r="DG72" s="174"/>
      <c r="DH72" s="64"/>
      <c r="DI72" s="64"/>
      <c r="DJ72" s="178"/>
      <c r="DK72" s="174"/>
      <c r="DL72" s="64"/>
      <c r="DM72" s="64"/>
      <c r="DN72" s="64"/>
      <c r="DO72" s="81"/>
      <c r="DP72" s="241"/>
    </row>
    <row r="73" spans="1:120" ht="12.75" hidden="1" customHeight="1" outlineLevel="1">
      <c r="A73" s="14"/>
      <c r="B73" s="396"/>
      <c r="C73" s="656"/>
      <c r="D73" s="657"/>
      <c r="E73" s="630"/>
      <c r="F73" s="225" t="s">
        <v>1</v>
      </c>
      <c r="G73" s="649"/>
      <c r="H73" s="484" t="s">
        <v>130</v>
      </c>
      <c r="I73" s="635"/>
      <c r="J73" s="642"/>
      <c r="K73" s="632"/>
      <c r="L73" s="630"/>
      <c r="M73" s="629"/>
      <c r="N73" s="628"/>
      <c r="O73" s="60"/>
      <c r="P73" s="64"/>
      <c r="Q73" s="64"/>
      <c r="R73" s="64"/>
      <c r="S73" s="424"/>
      <c r="T73" s="60"/>
      <c r="U73" s="64"/>
      <c r="V73" s="64"/>
      <c r="W73" s="81"/>
      <c r="X73" s="60"/>
      <c r="Y73" s="64"/>
      <c r="Z73" s="64"/>
      <c r="AA73" s="64"/>
      <c r="AB73" s="60"/>
      <c r="AC73" s="64"/>
      <c r="AD73" s="64"/>
      <c r="AE73" s="64"/>
      <c r="AF73" s="81"/>
      <c r="AG73" s="60"/>
      <c r="AH73" s="64"/>
      <c r="AI73" s="64"/>
      <c r="AJ73" s="178"/>
      <c r="AK73" s="60"/>
      <c r="AL73" s="64"/>
      <c r="AM73" s="64"/>
      <c r="AN73" s="81"/>
      <c r="AO73" s="60"/>
      <c r="AP73" s="64"/>
      <c r="AQ73" s="64"/>
      <c r="AR73" s="64"/>
      <c r="AS73" s="81"/>
      <c r="AT73" s="60"/>
      <c r="AU73" s="64"/>
      <c r="AV73" s="64"/>
      <c r="AW73" s="178"/>
      <c r="AX73" s="60"/>
      <c r="AY73" s="64"/>
      <c r="AZ73" s="64"/>
      <c r="BA73" s="81"/>
      <c r="BB73" s="60"/>
      <c r="BC73" s="64"/>
      <c r="BD73" s="64"/>
      <c r="BE73" s="64"/>
      <c r="BF73" s="81"/>
      <c r="BG73" s="60"/>
      <c r="BH73" s="64"/>
      <c r="BI73" s="64"/>
      <c r="BJ73" s="178"/>
      <c r="BK73" s="60"/>
      <c r="BL73" s="64"/>
      <c r="BM73" s="64"/>
      <c r="BN73" s="64"/>
      <c r="BO73" s="81"/>
      <c r="BP73" s="60"/>
      <c r="BQ73" s="64"/>
      <c r="BR73" s="64"/>
      <c r="BS73" s="178"/>
      <c r="BT73" s="60"/>
      <c r="BU73" s="64"/>
      <c r="BV73" s="64"/>
      <c r="BW73" s="178"/>
      <c r="BX73" s="60"/>
      <c r="BY73" s="64"/>
      <c r="BZ73" s="64"/>
      <c r="CA73" s="64"/>
      <c r="CB73" s="178"/>
      <c r="CC73" s="60"/>
      <c r="CD73" s="64"/>
      <c r="CE73" s="64"/>
      <c r="CF73" s="81"/>
      <c r="CG73" s="59"/>
      <c r="CH73" s="64"/>
      <c r="CI73" s="64"/>
      <c r="CJ73" s="178"/>
      <c r="CK73" s="60"/>
      <c r="CL73" s="64"/>
      <c r="CM73" s="64"/>
      <c r="CN73" s="64"/>
      <c r="CO73" s="81"/>
      <c r="CP73" s="60"/>
      <c r="CQ73" s="64"/>
      <c r="CR73" s="64"/>
      <c r="CS73" s="178"/>
      <c r="CT73" s="60"/>
      <c r="CU73" s="64"/>
      <c r="CV73" s="64"/>
      <c r="CW73" s="178"/>
      <c r="CX73" s="60"/>
      <c r="CY73" s="64"/>
      <c r="CZ73" s="64"/>
      <c r="DA73" s="64"/>
      <c r="DB73" s="81"/>
      <c r="DC73" s="60"/>
      <c r="DD73" s="64"/>
      <c r="DE73" s="64"/>
      <c r="DF73" s="178"/>
      <c r="DG73" s="60"/>
      <c r="DH73" s="64"/>
      <c r="DI73" s="64"/>
      <c r="DJ73" s="178"/>
      <c r="DK73" s="60"/>
      <c r="DL73" s="64"/>
      <c r="DM73" s="64"/>
      <c r="DN73" s="64"/>
      <c r="DO73" s="81"/>
      <c r="DP73" s="16"/>
    </row>
    <row r="74" spans="1:120" ht="12.75" hidden="1" customHeight="1" outlineLevel="1">
      <c r="A74" s="14"/>
      <c r="B74" s="396"/>
      <c r="C74" s="656"/>
      <c r="D74" s="657"/>
      <c r="E74" s="630"/>
      <c r="F74" s="225" t="s">
        <v>1</v>
      </c>
      <c r="G74" s="496"/>
      <c r="H74" s="484" t="s">
        <v>157</v>
      </c>
      <c r="I74" s="637"/>
      <c r="J74" s="643"/>
      <c r="K74" s="640"/>
      <c r="L74" s="638"/>
      <c r="M74" s="629"/>
      <c r="N74" s="628"/>
      <c r="O74" s="62"/>
      <c r="P74" s="61"/>
      <c r="Q74" s="61"/>
      <c r="R74" s="61"/>
      <c r="S74" s="424"/>
      <c r="T74" s="62"/>
      <c r="U74" s="61"/>
      <c r="V74" s="61"/>
      <c r="W74" s="63"/>
      <c r="X74" s="62"/>
      <c r="Y74" s="61"/>
      <c r="Z74" s="61"/>
      <c r="AA74" s="61"/>
      <c r="AB74" s="62"/>
      <c r="AC74" s="61"/>
      <c r="AD74" s="61"/>
      <c r="AE74" s="61"/>
      <c r="AF74" s="63"/>
      <c r="AG74" s="62"/>
      <c r="AH74" s="61"/>
      <c r="AI74" s="61"/>
      <c r="AJ74" s="179"/>
      <c r="AK74" s="62"/>
      <c r="AL74" s="61"/>
      <c r="AM74" s="61"/>
      <c r="AN74" s="63"/>
      <c r="AO74" s="62"/>
      <c r="AP74" s="61"/>
      <c r="AQ74" s="61"/>
      <c r="AR74" s="61"/>
      <c r="AS74" s="63"/>
      <c r="AT74" s="62"/>
      <c r="AU74" s="61"/>
      <c r="AV74" s="61"/>
      <c r="AW74" s="179"/>
      <c r="AX74" s="62"/>
      <c r="AY74" s="61"/>
      <c r="AZ74" s="61"/>
      <c r="BA74" s="63"/>
      <c r="BB74" s="62"/>
      <c r="BC74" s="61"/>
      <c r="BD74" s="61"/>
      <c r="BE74" s="61"/>
      <c r="BF74" s="63"/>
      <c r="BG74" s="62"/>
      <c r="BH74" s="61"/>
      <c r="BI74" s="61"/>
      <c r="BJ74" s="179"/>
      <c r="BK74" s="62"/>
      <c r="BL74" s="61"/>
      <c r="BM74" s="61"/>
      <c r="BN74" s="61"/>
      <c r="BO74" s="63"/>
      <c r="BP74" s="62"/>
      <c r="BQ74" s="61"/>
      <c r="BR74" s="61"/>
      <c r="BS74" s="179"/>
      <c r="BT74" s="62"/>
      <c r="BU74" s="61"/>
      <c r="BV74" s="61"/>
      <c r="BW74" s="179"/>
      <c r="BX74" s="62"/>
      <c r="BY74" s="61"/>
      <c r="BZ74" s="61"/>
      <c r="CA74" s="61"/>
      <c r="CB74" s="178"/>
      <c r="CC74" s="62"/>
      <c r="CD74" s="61"/>
      <c r="CE74" s="61"/>
      <c r="CF74" s="63"/>
      <c r="CG74" s="64"/>
      <c r="CH74" s="61"/>
      <c r="CI74" s="61"/>
      <c r="CJ74" s="179"/>
      <c r="CK74" s="62"/>
      <c r="CL74" s="61"/>
      <c r="CM74" s="61"/>
      <c r="CN74" s="61"/>
      <c r="CO74" s="63"/>
      <c r="CP74" s="62"/>
      <c r="CQ74" s="61"/>
      <c r="CR74" s="61"/>
      <c r="CS74" s="179"/>
      <c r="CT74" s="62"/>
      <c r="CU74" s="61"/>
      <c r="CV74" s="61"/>
      <c r="CW74" s="179"/>
      <c r="CX74" s="62"/>
      <c r="CY74" s="61"/>
      <c r="CZ74" s="61"/>
      <c r="DA74" s="61"/>
      <c r="DB74" s="63"/>
      <c r="DC74" s="62"/>
      <c r="DD74" s="61"/>
      <c r="DE74" s="61"/>
      <c r="DF74" s="179"/>
      <c r="DG74" s="62"/>
      <c r="DH74" s="61"/>
      <c r="DI74" s="61"/>
      <c r="DJ74" s="179"/>
      <c r="DK74" s="62"/>
      <c r="DL74" s="61"/>
      <c r="DM74" s="61"/>
      <c r="DN74" s="61"/>
      <c r="DO74" s="63"/>
      <c r="DP74" s="491" t="s">
        <v>179</v>
      </c>
    </row>
    <row r="75" spans="1:120" ht="12.75" hidden="1" customHeight="1" outlineLevel="1">
      <c r="A75" s="14"/>
      <c r="B75" s="396"/>
      <c r="C75" s="658"/>
      <c r="D75" s="659"/>
      <c r="E75" s="687"/>
      <c r="F75" s="359" t="s">
        <v>1</v>
      </c>
      <c r="G75" s="497"/>
      <c r="H75" s="489" t="s">
        <v>39</v>
      </c>
      <c r="I75" s="101"/>
      <c r="J75" s="102"/>
      <c r="K75" s="103">
        <v>6955000</v>
      </c>
      <c r="L75" s="128">
        <v>6508004</v>
      </c>
      <c r="M75" s="462"/>
      <c r="N75" s="462"/>
      <c r="O75" s="38"/>
      <c r="P75" s="40"/>
      <c r="Q75" s="39"/>
      <c r="R75" s="39"/>
      <c r="S75" s="492" t="s">
        <v>236</v>
      </c>
      <c r="T75" s="38"/>
      <c r="U75" s="40"/>
      <c r="V75" s="39"/>
      <c r="W75" s="41"/>
      <c r="X75" s="38"/>
      <c r="Y75" s="40"/>
      <c r="Z75" s="39"/>
      <c r="AA75" s="39"/>
      <c r="AB75" s="38"/>
      <c r="AC75" s="40"/>
      <c r="AD75" s="39"/>
      <c r="AE75" s="39"/>
      <c r="AF75" s="41"/>
      <c r="AG75" s="38"/>
      <c r="AH75" s="299" t="s">
        <v>348</v>
      </c>
      <c r="AI75" s="39"/>
      <c r="AJ75" s="184"/>
      <c r="AK75" s="38"/>
      <c r="AL75" s="407" t="s">
        <v>348</v>
      </c>
      <c r="AM75" s="407"/>
      <c r="AN75" s="41"/>
      <c r="AO75" s="525" t="s">
        <v>441</v>
      </c>
      <c r="AP75" s="407" t="s">
        <v>348</v>
      </c>
      <c r="AQ75" s="407"/>
      <c r="AR75" s="39"/>
      <c r="AS75" s="41"/>
      <c r="AT75" s="38"/>
      <c r="AU75" s="407" t="s">
        <v>348</v>
      </c>
      <c r="AV75" s="39"/>
      <c r="AW75" s="184"/>
      <c r="AX75" s="38"/>
      <c r="AY75" s="407" t="s">
        <v>348</v>
      </c>
      <c r="AZ75" s="39"/>
      <c r="BA75" s="41"/>
      <c r="BB75" s="38"/>
      <c r="BC75" s="40"/>
      <c r="BD75" s="39"/>
      <c r="BE75" s="39"/>
      <c r="BF75" s="41"/>
      <c r="BG75" s="38"/>
      <c r="BH75" s="40"/>
      <c r="BI75" s="39"/>
      <c r="BJ75" s="184"/>
      <c r="BK75" s="38"/>
      <c r="BL75" s="40"/>
      <c r="BM75" s="39"/>
      <c r="BN75" s="39"/>
      <c r="BO75" s="563" t="s">
        <v>515</v>
      </c>
      <c r="BP75" s="38"/>
      <c r="BQ75" s="40"/>
      <c r="BR75" s="39"/>
      <c r="BS75" s="563" t="s">
        <v>515</v>
      </c>
      <c r="BT75" s="38"/>
      <c r="BU75" s="40"/>
      <c r="BV75" s="39"/>
      <c r="BW75" s="563" t="s">
        <v>515</v>
      </c>
      <c r="BX75" s="38"/>
      <c r="BY75" s="40"/>
      <c r="BZ75" s="39"/>
      <c r="CA75" s="184"/>
      <c r="CB75" s="614" t="s">
        <v>515</v>
      </c>
      <c r="CC75" s="38"/>
      <c r="CD75" s="40"/>
      <c r="CE75" s="39"/>
      <c r="CF75" s="41"/>
      <c r="CG75" s="39"/>
      <c r="CH75" s="40"/>
      <c r="CI75" s="39"/>
      <c r="CJ75" s="184"/>
      <c r="CK75" s="38"/>
      <c r="CL75" s="40"/>
      <c r="CM75" s="39"/>
      <c r="CN75" s="39"/>
      <c r="CO75" s="41"/>
      <c r="CP75" s="38"/>
      <c r="CQ75" s="40"/>
      <c r="CR75" s="39"/>
      <c r="CS75" s="184"/>
      <c r="CT75" s="38"/>
      <c r="CU75" s="40"/>
      <c r="CV75" s="39"/>
      <c r="CW75" s="184"/>
      <c r="CX75" s="38"/>
      <c r="CY75" s="40"/>
      <c r="CZ75" s="39"/>
      <c r="DA75" s="39"/>
      <c r="DB75" s="41"/>
      <c r="DC75" s="38"/>
      <c r="DD75" s="40"/>
      <c r="DE75" s="39"/>
      <c r="DF75" s="184"/>
      <c r="DG75" s="38"/>
      <c r="DH75" s="40"/>
      <c r="DI75" s="39"/>
      <c r="DJ75" s="184"/>
      <c r="DK75" s="38"/>
      <c r="DL75" s="40"/>
      <c r="DM75" s="39"/>
      <c r="DN75" s="39"/>
      <c r="DO75" s="41"/>
      <c r="DP75" s="423" t="s">
        <v>276</v>
      </c>
    </row>
    <row r="76" spans="1:120" ht="12.75" customHeight="1" thickBot="1">
      <c r="A76" s="14"/>
      <c r="B76" s="396"/>
      <c r="C76" s="76"/>
      <c r="D76" s="82"/>
      <c r="E76" s="1"/>
      <c r="F76" s="82"/>
      <c r="G76" s="82"/>
      <c r="H76" s="79"/>
      <c r="I76" s="82"/>
      <c r="J76" s="82"/>
      <c r="K76" s="82"/>
      <c r="L76" s="82"/>
      <c r="M76" s="460"/>
      <c r="N76" s="460"/>
      <c r="O76" s="66"/>
      <c r="P76" s="66"/>
      <c r="Q76" s="66"/>
      <c r="R76" s="66"/>
      <c r="S76" s="68"/>
      <c r="T76" s="66"/>
      <c r="U76" s="66"/>
      <c r="V76" s="66"/>
      <c r="W76" s="68"/>
      <c r="X76" s="67"/>
      <c r="Y76" s="66"/>
      <c r="Z76" s="66"/>
      <c r="AA76" s="66"/>
      <c r="AB76" s="67"/>
      <c r="AC76" s="66"/>
      <c r="AD76" s="66"/>
      <c r="AE76" s="66"/>
      <c r="AF76" s="66"/>
      <c r="AG76" s="66"/>
      <c r="AH76" s="66"/>
      <c r="AI76" s="66"/>
      <c r="AJ76" s="66"/>
      <c r="AK76" s="66"/>
      <c r="AL76" s="66"/>
      <c r="AM76" s="66"/>
      <c r="AN76" s="68"/>
      <c r="AO76" s="67"/>
      <c r="AP76" s="66"/>
      <c r="AQ76" s="66"/>
      <c r="AR76" s="66"/>
      <c r="AS76" s="66"/>
      <c r="AT76" s="66"/>
      <c r="AU76" s="66"/>
      <c r="AV76" s="66"/>
      <c r="AW76" s="66"/>
      <c r="AX76" s="66"/>
      <c r="AY76" s="66"/>
      <c r="AZ76" s="66"/>
      <c r="BA76" s="66"/>
      <c r="BB76" s="66"/>
      <c r="BC76" s="66"/>
      <c r="BD76" s="66"/>
      <c r="BE76" s="66"/>
      <c r="BF76" s="66"/>
      <c r="BG76" s="67"/>
      <c r="BH76" s="66"/>
      <c r="BI76" s="66"/>
      <c r="BJ76" s="66"/>
      <c r="BK76" s="66"/>
      <c r="BL76" s="66"/>
      <c r="BM76" s="66"/>
      <c r="BN76" s="66"/>
      <c r="BO76" s="66"/>
      <c r="BP76" s="67"/>
      <c r="BQ76" s="66"/>
      <c r="BR76" s="66"/>
      <c r="BS76" s="66"/>
      <c r="BT76" s="66"/>
      <c r="BU76" s="66"/>
      <c r="BV76" s="66"/>
      <c r="BW76" s="66"/>
      <c r="BX76" s="66"/>
      <c r="BY76" s="66"/>
      <c r="BZ76" s="66"/>
      <c r="CA76" s="66"/>
      <c r="CB76" s="66"/>
      <c r="CC76" s="67"/>
      <c r="CD76" s="66"/>
      <c r="CE76" s="66"/>
      <c r="CF76" s="68"/>
      <c r="CG76" s="66"/>
      <c r="CH76" s="66"/>
      <c r="CI76" s="66"/>
      <c r="CJ76" s="66"/>
      <c r="CK76" s="67"/>
      <c r="CL76" s="66"/>
      <c r="CM76" s="66"/>
      <c r="CN76" s="66"/>
      <c r="CO76" s="66"/>
      <c r="CP76" s="67"/>
      <c r="CQ76" s="66"/>
      <c r="CR76" s="66"/>
      <c r="CS76" s="66"/>
      <c r="CT76" s="67"/>
      <c r="CU76" s="66"/>
      <c r="CV76" s="66"/>
      <c r="CW76" s="66"/>
      <c r="CX76" s="67"/>
      <c r="CY76" s="66"/>
      <c r="CZ76" s="66"/>
      <c r="DA76" s="66"/>
      <c r="DB76" s="68"/>
      <c r="DC76" s="67"/>
      <c r="DD76" s="66"/>
      <c r="DE76" s="66"/>
      <c r="DF76" s="66"/>
      <c r="DG76" s="67"/>
      <c r="DH76" s="66"/>
      <c r="DI76" s="66"/>
      <c r="DJ76" s="66"/>
      <c r="DK76" s="67"/>
      <c r="DL76" s="66"/>
      <c r="DM76" s="66"/>
      <c r="DN76" s="66"/>
      <c r="DO76" s="68"/>
      <c r="DP76" s="16"/>
    </row>
    <row r="77" spans="1:120" ht="12.75" customHeight="1" collapsed="1">
      <c r="A77" s="14"/>
      <c r="B77" s="396"/>
      <c r="C77" s="672" t="s">
        <v>594</v>
      </c>
      <c r="D77" s="691"/>
      <c r="E77" s="664" t="s">
        <v>222</v>
      </c>
      <c r="F77" s="481" t="s">
        <v>98</v>
      </c>
      <c r="G77" s="652" t="s">
        <v>240</v>
      </c>
      <c r="H77" s="380" t="s">
        <v>1</v>
      </c>
      <c r="I77" s="636">
        <f>I84</f>
        <v>0</v>
      </c>
      <c r="J77" s="641">
        <f>J84</f>
        <v>0</v>
      </c>
      <c r="K77" s="631">
        <f>K84</f>
        <v>0</v>
      </c>
      <c r="L77" s="639" t="s">
        <v>41</v>
      </c>
      <c r="M77" s="720"/>
      <c r="N77" s="724"/>
      <c r="O77" s="23"/>
      <c r="P77" s="25"/>
      <c r="Q77" s="25"/>
      <c r="R77" s="183"/>
      <c r="S77" s="27"/>
      <c r="T77" s="25"/>
      <c r="U77" s="25"/>
      <c r="V77" s="24"/>
      <c r="W77" s="26"/>
      <c r="X77" s="23"/>
      <c r="Y77" s="25"/>
      <c r="Z77" s="25"/>
      <c r="AA77" s="26"/>
      <c r="AB77" s="23"/>
      <c r="AC77" s="25"/>
      <c r="AD77" s="11" t="s">
        <v>28</v>
      </c>
      <c r="AE77" s="186" t="s">
        <v>27</v>
      </c>
      <c r="AF77" s="160"/>
      <c r="AG77" s="23"/>
      <c r="AH77" s="24"/>
      <c r="AI77" s="24"/>
      <c r="AJ77" s="26" t="s">
        <v>351</v>
      </c>
      <c r="AK77" s="25"/>
      <c r="AL77" s="25"/>
      <c r="AM77" s="25"/>
      <c r="AN77" s="26"/>
      <c r="AO77" s="23"/>
      <c r="AP77" s="25"/>
      <c r="AQ77" s="25"/>
      <c r="AR77" s="25"/>
      <c r="AS77" s="25"/>
      <c r="AT77" s="23"/>
      <c r="AU77" s="24"/>
      <c r="AV77" s="24"/>
      <c r="AW77" s="26"/>
      <c r="AX77" s="23"/>
      <c r="AY77" s="25"/>
      <c r="AZ77" s="25"/>
      <c r="BA77" s="24"/>
      <c r="BB77" s="23"/>
      <c r="BC77" s="24"/>
      <c r="BD77" s="24"/>
      <c r="BE77" s="24"/>
      <c r="BF77" s="24"/>
      <c r="BG77" s="23"/>
      <c r="BH77" s="24"/>
      <c r="BI77" s="58"/>
      <c r="BJ77" s="26"/>
      <c r="BK77" s="58"/>
      <c r="BL77" s="25"/>
      <c r="BM77" s="24"/>
      <c r="BN77" s="183"/>
      <c r="BO77" s="27"/>
      <c r="BP77" s="23"/>
      <c r="BQ77" s="24"/>
      <c r="BR77" s="58"/>
      <c r="BS77" s="26"/>
      <c r="BT77" s="23"/>
      <c r="BU77" s="24"/>
      <c r="BV77" s="58"/>
      <c r="BW77" s="26"/>
      <c r="BX77" s="23"/>
      <c r="BY77" s="25"/>
      <c r="BZ77" s="24"/>
      <c r="CA77" s="25"/>
      <c r="CB77" s="183"/>
      <c r="CC77" s="23"/>
      <c r="CD77" s="24"/>
      <c r="CE77" s="58"/>
      <c r="CF77" s="26"/>
      <c r="CG77" s="25"/>
      <c r="CH77" s="24"/>
      <c r="CI77" s="58"/>
      <c r="CJ77" s="26"/>
      <c r="CK77" s="23"/>
      <c r="CL77" s="25"/>
      <c r="CM77" s="24"/>
      <c r="CN77" s="183"/>
      <c r="CO77" s="27"/>
      <c r="CP77" s="23"/>
      <c r="CQ77" s="24"/>
      <c r="CR77" s="58"/>
      <c r="CS77" s="26"/>
      <c r="CT77" s="23"/>
      <c r="CU77" s="24"/>
      <c r="CV77" s="58"/>
      <c r="CW77" s="26"/>
      <c r="CX77" s="23"/>
      <c r="CY77" s="25"/>
      <c r="CZ77" s="24"/>
      <c r="DA77" s="183"/>
      <c r="DB77" s="27"/>
      <c r="DC77" s="23"/>
      <c r="DD77" s="24"/>
      <c r="DE77" s="58"/>
      <c r="DF77" s="26"/>
      <c r="DG77" s="23"/>
      <c r="DH77" s="24"/>
      <c r="DI77" s="58"/>
      <c r="DJ77" s="26"/>
      <c r="DK77" s="23"/>
      <c r="DL77" s="25"/>
      <c r="DM77" s="24"/>
      <c r="DN77" s="183"/>
      <c r="DO77" s="27"/>
      <c r="DP77" s="729" t="s">
        <v>205</v>
      </c>
    </row>
    <row r="78" spans="1:120" ht="12.75" hidden="1" customHeight="1" outlineLevel="1">
      <c r="A78" s="14"/>
      <c r="B78" s="396"/>
      <c r="C78" s="656"/>
      <c r="D78" s="657"/>
      <c r="E78" s="665"/>
      <c r="F78" s="42" t="s">
        <v>185</v>
      </c>
      <c r="G78" s="649"/>
      <c r="H78" s="482" t="s">
        <v>31</v>
      </c>
      <c r="I78" s="635"/>
      <c r="J78" s="642"/>
      <c r="K78" s="632"/>
      <c r="L78" s="630"/>
      <c r="M78" s="628"/>
      <c r="N78" s="628"/>
      <c r="O78" s="34"/>
      <c r="P78" s="129"/>
      <c r="Q78" s="129"/>
      <c r="R78" s="129"/>
      <c r="S78" s="142"/>
      <c r="T78" s="35"/>
      <c r="U78" s="129"/>
      <c r="V78" s="35"/>
      <c r="W78" s="189"/>
      <c r="X78" s="134"/>
      <c r="Y78" s="35"/>
      <c r="Z78" s="35"/>
      <c r="AA78" s="37"/>
      <c r="AB78" s="34"/>
      <c r="AC78" s="129"/>
      <c r="AD78" s="140" t="s">
        <v>199</v>
      </c>
      <c r="AE78" s="131" t="s">
        <v>352</v>
      </c>
      <c r="AF78" s="203" t="s">
        <v>356</v>
      </c>
      <c r="AG78" s="134" t="s">
        <v>340</v>
      </c>
      <c r="AH78" s="140" t="s">
        <v>357</v>
      </c>
      <c r="AI78" s="289" t="s">
        <v>43</v>
      </c>
      <c r="AJ78" s="37" t="s">
        <v>34</v>
      </c>
      <c r="AK78" s="129" t="s">
        <v>111</v>
      </c>
      <c r="AL78" s="140" t="s">
        <v>369</v>
      </c>
      <c r="AM78" s="129" t="s">
        <v>206</v>
      </c>
      <c r="AN78" s="37"/>
      <c r="AO78" s="34"/>
      <c r="AP78" s="129"/>
      <c r="AQ78" s="129"/>
      <c r="AR78" s="129"/>
      <c r="AS78" s="37"/>
      <c r="AT78" s="34"/>
      <c r="AU78" s="35"/>
      <c r="AV78" s="129"/>
      <c r="AW78" s="35" t="s">
        <v>36</v>
      </c>
      <c r="AX78" s="35" t="s">
        <v>102</v>
      </c>
      <c r="AY78" s="129"/>
      <c r="AZ78" s="35"/>
      <c r="BA78" s="129" t="s">
        <v>233</v>
      </c>
      <c r="BB78" s="34"/>
      <c r="BC78" s="35"/>
      <c r="BD78" s="129"/>
      <c r="BE78" s="129"/>
      <c r="BF78" s="324"/>
      <c r="BG78" s="129" t="s">
        <v>117</v>
      </c>
      <c r="BH78" s="162" t="s">
        <v>203</v>
      </c>
      <c r="BI78" s="162" t="s">
        <v>110</v>
      </c>
      <c r="BJ78" s="37"/>
      <c r="BK78" s="176" t="s">
        <v>138</v>
      </c>
      <c r="BL78" s="129" t="s">
        <v>247</v>
      </c>
      <c r="BM78" s="129" t="s">
        <v>118</v>
      </c>
      <c r="BN78" s="129" t="s">
        <v>197</v>
      </c>
      <c r="BO78" s="142"/>
      <c r="BP78" s="134"/>
      <c r="BQ78" s="162"/>
      <c r="BR78" s="176"/>
      <c r="BS78" s="37"/>
      <c r="BT78" s="134"/>
      <c r="BU78" s="162"/>
      <c r="BV78" s="176"/>
      <c r="BW78" s="37"/>
      <c r="BX78" s="134"/>
      <c r="BY78" s="129"/>
      <c r="BZ78" s="129"/>
      <c r="CA78" s="129"/>
      <c r="CB78" s="203"/>
      <c r="CC78" s="134"/>
      <c r="CD78" s="162"/>
      <c r="CE78" s="176"/>
      <c r="CF78" s="37"/>
      <c r="CG78" s="129"/>
      <c r="CH78" s="162"/>
      <c r="CI78" s="176"/>
      <c r="CJ78" s="37"/>
      <c r="CK78" s="134"/>
      <c r="CL78" s="129"/>
      <c r="CM78" s="129"/>
      <c r="CN78" s="129"/>
      <c r="CO78" s="142"/>
      <c r="CP78" s="134"/>
      <c r="CQ78" s="162"/>
      <c r="CR78" s="176"/>
      <c r="CS78" s="37"/>
      <c r="CT78" s="134"/>
      <c r="CU78" s="162"/>
      <c r="CV78" s="176"/>
      <c r="CW78" s="37"/>
      <c r="CX78" s="134"/>
      <c r="CY78" s="129"/>
      <c r="CZ78" s="129"/>
      <c r="DA78" s="129"/>
      <c r="DB78" s="142"/>
      <c r="DC78" s="134"/>
      <c r="DD78" s="162"/>
      <c r="DE78" s="176"/>
      <c r="DF78" s="37"/>
      <c r="DG78" s="134"/>
      <c r="DH78" s="162"/>
      <c r="DI78" s="176"/>
      <c r="DJ78" s="37"/>
      <c r="DK78" s="134"/>
      <c r="DL78" s="129"/>
      <c r="DM78" s="129"/>
      <c r="DN78" s="129"/>
      <c r="DO78" s="142"/>
      <c r="DP78" s="718"/>
    </row>
    <row r="79" spans="1:120" ht="12.75" hidden="1" customHeight="1" outlineLevel="1">
      <c r="A79" s="14"/>
      <c r="B79" s="396"/>
      <c r="C79" s="656"/>
      <c r="D79" s="657"/>
      <c r="E79" s="665"/>
      <c r="F79" s="357" t="s">
        <v>396</v>
      </c>
      <c r="G79" s="649"/>
      <c r="H79" s="483" t="s">
        <v>66</v>
      </c>
      <c r="I79" s="635"/>
      <c r="J79" s="642"/>
      <c r="K79" s="632"/>
      <c r="L79" s="630"/>
      <c r="M79" s="628"/>
      <c r="N79" s="628"/>
      <c r="O79" s="46"/>
      <c r="P79" s="47"/>
      <c r="Q79" s="47"/>
      <c r="R79" s="177"/>
      <c r="S79" s="190"/>
      <c r="T79" s="47"/>
      <c r="U79" s="47"/>
      <c r="V79" s="47"/>
      <c r="W79" s="190"/>
      <c r="X79" s="46"/>
      <c r="Y79" s="47"/>
      <c r="Z79" s="47"/>
      <c r="AA79" s="167"/>
      <c r="AB79" s="149" t="s">
        <v>310</v>
      </c>
      <c r="AC79" s="140" t="s">
        <v>316</v>
      </c>
      <c r="AD79" s="140" t="s">
        <v>370</v>
      </c>
      <c r="AE79" s="32" t="s">
        <v>193</v>
      </c>
      <c r="AF79" s="177" t="s">
        <v>194</v>
      </c>
      <c r="AG79" s="46"/>
      <c r="AH79" s="47" t="s">
        <v>131</v>
      </c>
      <c r="AI79" s="47"/>
      <c r="AJ79" s="48" t="s">
        <v>65</v>
      </c>
      <c r="AK79" s="47"/>
      <c r="AL79" s="47"/>
      <c r="AM79" s="47"/>
      <c r="AN79" s="48"/>
      <c r="AO79" s="46" t="s">
        <v>192</v>
      </c>
      <c r="AP79" s="47"/>
      <c r="AQ79" s="47"/>
      <c r="AR79" s="47" t="s">
        <v>73</v>
      </c>
      <c r="AS79" s="138" t="s">
        <v>190</v>
      </c>
      <c r="AT79" s="138" t="s">
        <v>161</v>
      </c>
      <c r="AU79" s="138"/>
      <c r="AV79" s="321"/>
      <c r="AW79" s="190" t="s">
        <v>52</v>
      </c>
      <c r="AX79" s="46"/>
      <c r="AY79" s="47"/>
      <c r="AZ79" s="138"/>
      <c r="BA79" s="48"/>
      <c r="BB79" s="135" t="s">
        <v>96</v>
      </c>
      <c r="BC79" s="138"/>
      <c r="BD79" s="138"/>
      <c r="BE79" s="138" t="s">
        <v>122</v>
      </c>
      <c r="BF79" s="138" t="s">
        <v>187</v>
      </c>
      <c r="BG79" s="46"/>
      <c r="BH79" s="138"/>
      <c r="BI79" s="138" t="s">
        <v>119</v>
      </c>
      <c r="BJ79" s="48"/>
      <c r="BK79" s="46"/>
      <c r="BL79" s="47"/>
      <c r="BM79" s="47"/>
      <c r="BN79" s="177"/>
      <c r="BO79" s="48"/>
      <c r="BP79" s="46"/>
      <c r="BQ79" s="138"/>
      <c r="BR79" s="47"/>
      <c r="BS79" s="48"/>
      <c r="BT79" s="46"/>
      <c r="BU79" s="138"/>
      <c r="BV79" s="47"/>
      <c r="BW79" s="48"/>
      <c r="BX79" s="46"/>
      <c r="BY79" s="47"/>
      <c r="BZ79" s="47"/>
      <c r="CA79" s="47"/>
      <c r="CB79" s="177"/>
      <c r="CC79" s="46"/>
      <c r="CD79" s="138"/>
      <c r="CE79" s="47"/>
      <c r="CF79" s="48"/>
      <c r="CG79" s="47"/>
      <c r="CH79" s="138"/>
      <c r="CI79" s="47"/>
      <c r="CJ79" s="48"/>
      <c r="CK79" s="46"/>
      <c r="CL79" s="47"/>
      <c r="CM79" s="47"/>
      <c r="CN79" s="177"/>
      <c r="CO79" s="48"/>
      <c r="CP79" s="46"/>
      <c r="CQ79" s="138"/>
      <c r="CR79" s="47"/>
      <c r="CS79" s="48"/>
      <c r="CT79" s="46"/>
      <c r="CU79" s="138"/>
      <c r="CV79" s="47"/>
      <c r="CW79" s="48"/>
      <c r="CX79" s="46"/>
      <c r="CY79" s="47"/>
      <c r="CZ79" s="47"/>
      <c r="DA79" s="177"/>
      <c r="DB79" s="48"/>
      <c r="DC79" s="46"/>
      <c r="DD79" s="138"/>
      <c r="DE79" s="47"/>
      <c r="DF79" s="48"/>
      <c r="DG79" s="46"/>
      <c r="DH79" s="138"/>
      <c r="DI79" s="47"/>
      <c r="DJ79" s="48"/>
      <c r="DK79" s="46"/>
      <c r="DL79" s="47"/>
      <c r="DM79" s="47"/>
      <c r="DN79" s="177"/>
      <c r="DO79" s="48"/>
      <c r="DP79" s="718"/>
    </row>
    <row r="80" spans="1:120" ht="12.75" hidden="1" customHeight="1" outlineLevel="1">
      <c r="A80" s="14"/>
      <c r="B80" s="396"/>
      <c r="C80" s="656"/>
      <c r="D80" s="657"/>
      <c r="E80" s="665"/>
      <c r="F80" s="357"/>
      <c r="G80" s="498"/>
      <c r="H80" s="483" t="s">
        <v>534</v>
      </c>
      <c r="I80" s="635"/>
      <c r="J80" s="642"/>
      <c r="K80" s="632"/>
      <c r="L80" s="630"/>
      <c r="M80" s="628"/>
      <c r="N80" s="628"/>
      <c r="O80" s="327"/>
      <c r="P80" s="328"/>
      <c r="Q80" s="328"/>
      <c r="R80" s="330"/>
      <c r="S80" s="286"/>
      <c r="T80" s="328"/>
      <c r="U80" s="328"/>
      <c r="V80" s="330"/>
      <c r="W80" s="286"/>
      <c r="X80" s="327"/>
      <c r="Y80" s="328"/>
      <c r="Z80" s="328"/>
      <c r="AA80" s="358"/>
      <c r="AB80" s="360"/>
      <c r="AC80" s="268"/>
      <c r="AD80" s="268"/>
      <c r="AE80" s="272"/>
      <c r="AF80" s="330"/>
      <c r="AG80" s="327"/>
      <c r="AH80" s="330"/>
      <c r="AI80" s="328"/>
      <c r="AJ80" s="329"/>
      <c r="AK80" s="328"/>
      <c r="AL80" s="328"/>
      <c r="AM80" s="328"/>
      <c r="AN80" s="329"/>
      <c r="AO80" s="327"/>
      <c r="AP80" s="328"/>
      <c r="AQ80" s="328"/>
      <c r="AR80" s="328"/>
      <c r="AS80" s="304"/>
      <c r="AT80" s="331"/>
      <c r="AU80" s="331"/>
      <c r="AV80" s="304"/>
      <c r="AW80" s="329"/>
      <c r="AX80" s="327"/>
      <c r="AY80" s="328"/>
      <c r="AZ80" s="331"/>
      <c r="BA80" s="329"/>
      <c r="BB80" s="332"/>
      <c r="BC80" s="331"/>
      <c r="BD80" s="331"/>
      <c r="BE80" s="331"/>
      <c r="BF80" s="331"/>
      <c r="BG80" s="330"/>
      <c r="BH80" s="331"/>
      <c r="BI80" s="331"/>
      <c r="BJ80" s="329"/>
      <c r="BK80" s="545" t="s">
        <v>525</v>
      </c>
      <c r="BL80" s="328"/>
      <c r="BM80" s="328"/>
      <c r="BN80" s="330"/>
      <c r="BO80" s="329"/>
      <c r="BP80" s="290"/>
      <c r="BQ80" s="331"/>
      <c r="BR80" s="328"/>
      <c r="BS80" s="556" t="s">
        <v>536</v>
      </c>
      <c r="BT80" s="327"/>
      <c r="BU80" s="331"/>
      <c r="BV80" s="328"/>
      <c r="BW80" s="596" t="s">
        <v>64</v>
      </c>
      <c r="BX80" s="327"/>
      <c r="BY80" s="328"/>
      <c r="BZ80" s="565" t="s">
        <v>539</v>
      </c>
      <c r="CA80" s="328"/>
      <c r="CB80" s="330"/>
      <c r="CC80" s="327"/>
      <c r="CD80" s="331"/>
      <c r="CE80" s="328"/>
      <c r="CF80" s="329"/>
      <c r="CG80" s="328"/>
      <c r="CH80" s="331"/>
      <c r="CI80" s="328"/>
      <c r="CJ80" s="329"/>
      <c r="CK80" s="327"/>
      <c r="CL80" s="328"/>
      <c r="CM80" s="328"/>
      <c r="CN80" s="330"/>
      <c r="CO80" s="329"/>
      <c r="CP80" s="327"/>
      <c r="CQ80" s="331"/>
      <c r="CR80" s="328"/>
      <c r="CS80" s="329"/>
      <c r="CT80" s="327"/>
      <c r="CU80" s="331"/>
      <c r="CV80" s="328"/>
      <c r="CW80" s="329"/>
      <c r="CX80" s="327"/>
      <c r="CY80" s="328"/>
      <c r="CZ80" s="328"/>
      <c r="DA80" s="330"/>
      <c r="DB80" s="329"/>
      <c r="DC80" s="327"/>
      <c r="DD80" s="331"/>
      <c r="DE80" s="328"/>
      <c r="DF80" s="329"/>
      <c r="DG80" s="327"/>
      <c r="DH80" s="331"/>
      <c r="DI80" s="328"/>
      <c r="DJ80" s="329"/>
      <c r="DK80" s="327"/>
      <c r="DL80" s="328"/>
      <c r="DM80" s="328"/>
      <c r="DN80" s="330"/>
      <c r="DO80" s="329"/>
      <c r="DP80" s="718"/>
    </row>
    <row r="81" spans="1:120" ht="12.75" hidden="1" customHeight="1" outlineLevel="1">
      <c r="A81" s="14"/>
      <c r="B81" s="396"/>
      <c r="C81" s="656"/>
      <c r="D81" s="657"/>
      <c r="E81" s="665"/>
      <c r="F81" s="225" t="s">
        <v>0</v>
      </c>
      <c r="G81" s="649" t="str">
        <f>G77</f>
        <v>On hold</v>
      </c>
      <c r="H81" s="484" t="s">
        <v>129</v>
      </c>
      <c r="I81" s="635"/>
      <c r="J81" s="642"/>
      <c r="K81" s="632"/>
      <c r="L81" s="630"/>
      <c r="M81" s="628"/>
      <c r="N81" s="628"/>
      <c r="O81" s="218"/>
      <c r="P81" s="242"/>
      <c r="Q81" s="242"/>
      <c r="R81" s="242"/>
      <c r="S81" s="244"/>
      <c r="T81" s="242"/>
      <c r="U81" s="242"/>
      <c r="V81" s="245"/>
      <c r="W81" s="244"/>
      <c r="X81" s="218"/>
      <c r="Y81" s="242"/>
      <c r="Z81" s="242"/>
      <c r="AA81" s="246"/>
      <c r="AB81" s="218"/>
      <c r="AC81" s="242"/>
      <c r="AD81" s="276" t="s">
        <v>319</v>
      </c>
      <c r="AE81" s="198" t="s">
        <v>27</v>
      </c>
      <c r="AF81" s="305"/>
      <c r="AG81" s="218"/>
      <c r="AH81" s="421" t="s">
        <v>353</v>
      </c>
      <c r="AI81" s="242"/>
      <c r="AJ81" s="505" t="s">
        <v>26</v>
      </c>
      <c r="AK81" s="219" t="s">
        <v>82</v>
      </c>
      <c r="AL81" s="242"/>
      <c r="AM81" s="242"/>
      <c r="AN81" s="246"/>
      <c r="AO81" s="218"/>
      <c r="AP81" s="242"/>
      <c r="AQ81" s="242"/>
      <c r="AR81" s="242"/>
      <c r="AS81" s="287" t="s">
        <v>25</v>
      </c>
      <c r="AT81" s="218"/>
      <c r="AU81" s="242"/>
      <c r="AV81" s="242"/>
      <c r="AW81" s="246"/>
      <c r="AX81" s="218"/>
      <c r="AY81" s="242"/>
      <c r="AZ81" s="83" t="s">
        <v>24</v>
      </c>
      <c r="BA81" s="246" t="s">
        <v>100</v>
      </c>
      <c r="BB81" s="323"/>
      <c r="BC81" s="83" t="s">
        <v>101</v>
      </c>
      <c r="BD81" s="376" t="s">
        <v>101</v>
      </c>
      <c r="BE81" s="376" t="s">
        <v>101</v>
      </c>
      <c r="BF81" s="376" t="s">
        <v>101</v>
      </c>
      <c r="BG81" s="218"/>
      <c r="BH81" s="83" t="s">
        <v>14</v>
      </c>
      <c r="BI81" s="242"/>
      <c r="BJ81" s="246"/>
      <c r="BK81" s="242" t="s">
        <v>228</v>
      </c>
      <c r="BL81" s="242"/>
      <c r="BM81" s="242" t="s">
        <v>78</v>
      </c>
      <c r="BN81" s="245"/>
      <c r="BO81" s="373"/>
      <c r="BP81" s="218"/>
      <c r="BQ81" s="242"/>
      <c r="BR81" s="242"/>
      <c r="BS81" s="246"/>
      <c r="BT81" s="218"/>
      <c r="BU81" s="242"/>
      <c r="BV81" s="242"/>
      <c r="BW81" s="246"/>
      <c r="BX81" s="218"/>
      <c r="BY81" s="242"/>
      <c r="BZ81" s="242"/>
      <c r="CA81" s="242"/>
      <c r="CB81" s="245"/>
      <c r="CC81" s="218"/>
      <c r="CD81" s="242"/>
      <c r="CE81" s="242"/>
      <c r="CF81" s="246"/>
      <c r="CG81" s="242"/>
      <c r="CH81" s="242"/>
      <c r="CI81" s="242"/>
      <c r="CJ81" s="246"/>
      <c r="CK81" s="218"/>
      <c r="CL81" s="242"/>
      <c r="CM81" s="242"/>
      <c r="CN81" s="245"/>
      <c r="CO81" s="373"/>
      <c r="CP81" s="218"/>
      <c r="CQ81" s="242"/>
      <c r="CR81" s="242"/>
      <c r="CS81" s="246"/>
      <c r="CT81" s="218"/>
      <c r="CU81" s="242"/>
      <c r="CV81" s="242"/>
      <c r="CW81" s="246"/>
      <c r="CX81" s="218"/>
      <c r="CY81" s="242"/>
      <c r="CZ81" s="242"/>
      <c r="DA81" s="245"/>
      <c r="DB81" s="373"/>
      <c r="DC81" s="218"/>
      <c r="DD81" s="242"/>
      <c r="DE81" s="242"/>
      <c r="DF81" s="246"/>
      <c r="DG81" s="218"/>
      <c r="DH81" s="242"/>
      <c r="DI81" s="242"/>
      <c r="DJ81" s="246"/>
      <c r="DK81" s="218"/>
      <c r="DL81" s="242"/>
      <c r="DM81" s="242"/>
      <c r="DN81" s="245"/>
      <c r="DO81" s="373"/>
      <c r="DP81" s="718"/>
    </row>
    <row r="82" spans="1:120" ht="12.75" hidden="1" customHeight="1" outlineLevel="1">
      <c r="A82" s="14"/>
      <c r="B82" s="396"/>
      <c r="C82" s="656"/>
      <c r="D82" s="657"/>
      <c r="E82" s="665"/>
      <c r="F82" s="225" t="s">
        <v>1</v>
      </c>
      <c r="G82" s="649"/>
      <c r="H82" s="484" t="s">
        <v>130</v>
      </c>
      <c r="I82" s="635"/>
      <c r="J82" s="642"/>
      <c r="K82" s="632"/>
      <c r="L82" s="630"/>
      <c r="M82" s="629"/>
      <c r="N82" s="628"/>
      <c r="O82" s="278"/>
      <c r="P82" s="279"/>
      <c r="Q82" s="279"/>
      <c r="R82" s="64"/>
      <c r="S82" s="243"/>
      <c r="T82" s="146"/>
      <c r="U82" s="72"/>
      <c r="V82" s="338"/>
      <c r="W82" s="277"/>
      <c r="X82" s="278"/>
      <c r="Y82" s="279"/>
      <c r="Z82" s="338"/>
      <c r="AA82" s="277"/>
      <c r="AB82" s="278"/>
      <c r="AC82" s="279"/>
      <c r="AD82" s="279"/>
      <c r="AE82" s="279"/>
      <c r="AF82" s="185" t="s">
        <v>121</v>
      </c>
      <c r="AG82" s="146"/>
      <c r="AH82" s="72"/>
      <c r="AI82" s="346" t="s">
        <v>38</v>
      </c>
      <c r="AJ82" s="277"/>
      <c r="AK82" s="279"/>
      <c r="AL82" s="279"/>
      <c r="AM82" s="338" t="s">
        <v>162</v>
      </c>
      <c r="AN82" s="277"/>
      <c r="AO82" s="278"/>
      <c r="AP82" s="279"/>
      <c r="AQ82" s="279"/>
      <c r="AR82" s="338"/>
      <c r="AS82" s="277"/>
      <c r="AT82" s="278"/>
      <c r="AU82" s="279"/>
      <c r="AV82" s="338" t="s">
        <v>171</v>
      </c>
      <c r="AW82" s="277"/>
      <c r="AX82" s="278"/>
      <c r="AY82" s="279"/>
      <c r="AZ82" s="338" t="s">
        <v>171</v>
      </c>
      <c r="BA82" s="277"/>
      <c r="BB82" s="278"/>
      <c r="BC82" s="279"/>
      <c r="BD82" s="279"/>
      <c r="BE82" s="338"/>
      <c r="BF82" s="277"/>
      <c r="BG82" s="146"/>
      <c r="BH82" s="72"/>
      <c r="BI82" s="338"/>
      <c r="BJ82" s="277"/>
      <c r="BK82" s="278"/>
      <c r="BL82" s="72"/>
      <c r="BM82" s="338"/>
      <c r="BN82" s="247"/>
      <c r="BO82" s="374"/>
      <c r="BP82" s="146"/>
      <c r="BQ82" s="72"/>
      <c r="BR82" s="338"/>
      <c r="BS82" s="277"/>
      <c r="BT82" s="146"/>
      <c r="BU82" s="72"/>
      <c r="BV82" s="338"/>
      <c r="BW82" s="277"/>
      <c r="BX82" s="278"/>
      <c r="BY82" s="72"/>
      <c r="BZ82" s="338"/>
      <c r="CA82" s="72"/>
      <c r="CB82" s="247"/>
      <c r="CC82" s="146"/>
      <c r="CD82" s="72"/>
      <c r="CE82" s="338"/>
      <c r="CF82" s="277"/>
      <c r="CG82" s="72"/>
      <c r="CH82" s="72"/>
      <c r="CI82" s="338"/>
      <c r="CJ82" s="277"/>
      <c r="CK82" s="278"/>
      <c r="CL82" s="72"/>
      <c r="CM82" s="338"/>
      <c r="CN82" s="247"/>
      <c r="CO82" s="374"/>
      <c r="CP82" s="146"/>
      <c r="CQ82" s="72"/>
      <c r="CR82" s="338"/>
      <c r="CS82" s="277"/>
      <c r="CT82" s="146"/>
      <c r="CU82" s="72"/>
      <c r="CV82" s="338"/>
      <c r="CW82" s="277"/>
      <c r="CX82" s="278"/>
      <c r="CY82" s="72"/>
      <c r="CZ82" s="338"/>
      <c r="DA82" s="247"/>
      <c r="DB82" s="374"/>
      <c r="DC82" s="146"/>
      <c r="DD82" s="72"/>
      <c r="DE82" s="338"/>
      <c r="DF82" s="277"/>
      <c r="DG82" s="146"/>
      <c r="DH82" s="72"/>
      <c r="DI82" s="338"/>
      <c r="DJ82" s="277"/>
      <c r="DK82" s="278"/>
      <c r="DL82" s="72"/>
      <c r="DM82" s="338"/>
      <c r="DN82" s="247"/>
      <c r="DO82" s="374"/>
      <c r="DP82" s="719"/>
    </row>
    <row r="83" spans="1:120" ht="12.75" hidden="1" customHeight="1" outlineLevel="1">
      <c r="A83" s="14"/>
      <c r="B83" s="396"/>
      <c r="C83" s="656"/>
      <c r="D83" s="657"/>
      <c r="E83" s="665"/>
      <c r="F83" s="225" t="s">
        <v>1</v>
      </c>
      <c r="G83" s="496"/>
      <c r="H83" s="484" t="s">
        <v>157</v>
      </c>
      <c r="I83" s="635"/>
      <c r="J83" s="642"/>
      <c r="K83" s="632"/>
      <c r="L83" s="630"/>
      <c r="M83" s="629"/>
      <c r="N83" s="628"/>
      <c r="O83" s="154"/>
      <c r="P83" s="153"/>
      <c r="Q83" s="153"/>
      <c r="R83" s="200"/>
      <c r="S83" s="248"/>
      <c r="T83" s="153"/>
      <c r="U83" s="153"/>
      <c r="V83" s="249"/>
      <c r="W83" s="248"/>
      <c r="X83" s="154"/>
      <c r="Y83" s="153"/>
      <c r="Z83" s="153"/>
      <c r="AA83" s="153"/>
      <c r="AB83" s="154"/>
      <c r="AC83" s="303" t="s">
        <v>318</v>
      </c>
      <c r="AD83" s="153"/>
      <c r="AE83" s="200"/>
      <c r="AF83" s="310"/>
      <c r="AG83" s="154"/>
      <c r="AH83" s="153"/>
      <c r="AI83" s="249"/>
      <c r="AJ83" s="248"/>
      <c r="AK83" s="153"/>
      <c r="AL83" s="153"/>
      <c r="AM83" s="153"/>
      <c r="AN83" s="153"/>
      <c r="AO83" s="154"/>
      <c r="AP83" s="153"/>
      <c r="AQ83" s="153"/>
      <c r="AR83" s="249"/>
      <c r="AS83" s="248"/>
      <c r="AT83" s="154"/>
      <c r="AU83" s="153"/>
      <c r="AV83" s="153"/>
      <c r="AW83" s="250"/>
      <c r="AX83" s="146"/>
      <c r="AY83" s="153"/>
      <c r="AZ83" s="153"/>
      <c r="BA83" s="250"/>
      <c r="BB83" s="146"/>
      <c r="BC83" s="153"/>
      <c r="BD83" s="153"/>
      <c r="BE83" s="153"/>
      <c r="BF83" s="250"/>
      <c r="BG83" s="154"/>
      <c r="BH83" s="153"/>
      <c r="BI83" s="153"/>
      <c r="BJ83" s="153" t="s">
        <v>160</v>
      </c>
      <c r="BK83" s="153" t="s">
        <v>152</v>
      </c>
      <c r="BL83" s="153"/>
      <c r="BM83" s="72"/>
      <c r="BN83" s="247" t="s">
        <v>153</v>
      </c>
      <c r="BO83" s="250"/>
      <c r="BP83" s="154"/>
      <c r="BQ83" s="153"/>
      <c r="BR83" s="153"/>
      <c r="BS83" s="250"/>
      <c r="BT83" s="154"/>
      <c r="BU83" s="153"/>
      <c r="BV83" s="153"/>
      <c r="BW83" s="250"/>
      <c r="BX83" s="146"/>
      <c r="BY83" s="153"/>
      <c r="BZ83" s="72"/>
      <c r="CA83" s="72"/>
      <c r="CB83" s="249"/>
      <c r="CC83" s="154"/>
      <c r="CD83" s="153"/>
      <c r="CE83" s="153"/>
      <c r="CF83" s="250"/>
      <c r="CG83" s="153"/>
      <c r="CH83" s="153"/>
      <c r="CI83" s="153"/>
      <c r="CJ83" s="250"/>
      <c r="CK83" s="146"/>
      <c r="CL83" s="153"/>
      <c r="CM83" s="72"/>
      <c r="CN83" s="247"/>
      <c r="CO83" s="250"/>
      <c r="CP83" s="154"/>
      <c r="CQ83" s="153"/>
      <c r="CR83" s="153"/>
      <c r="CS83" s="250"/>
      <c r="CT83" s="154"/>
      <c r="CU83" s="153"/>
      <c r="CV83" s="153"/>
      <c r="CW83" s="250"/>
      <c r="CX83" s="146"/>
      <c r="CY83" s="153"/>
      <c r="CZ83" s="72"/>
      <c r="DA83" s="247"/>
      <c r="DB83" s="250"/>
      <c r="DC83" s="154"/>
      <c r="DD83" s="153"/>
      <c r="DE83" s="153"/>
      <c r="DF83" s="250"/>
      <c r="DG83" s="154"/>
      <c r="DH83" s="153"/>
      <c r="DI83" s="153"/>
      <c r="DJ83" s="250"/>
      <c r="DK83" s="146"/>
      <c r="DL83" s="153"/>
      <c r="DM83" s="72"/>
      <c r="DN83" s="247"/>
      <c r="DO83" s="250"/>
      <c r="DP83" s="241" t="s">
        <v>311</v>
      </c>
    </row>
    <row r="84" spans="1:120" ht="12.75" hidden="1" customHeight="1" outlineLevel="1">
      <c r="A84" s="14"/>
      <c r="B84" s="396"/>
      <c r="C84" s="658"/>
      <c r="D84" s="659"/>
      <c r="E84" s="666"/>
      <c r="F84" s="359" t="s">
        <v>0</v>
      </c>
      <c r="G84" s="497"/>
      <c r="H84" s="489" t="s">
        <v>39</v>
      </c>
      <c r="I84" s="101"/>
      <c r="J84" s="102"/>
      <c r="K84" s="103"/>
      <c r="L84" s="128"/>
      <c r="M84" s="439"/>
      <c r="N84" s="439"/>
      <c r="O84" s="84"/>
      <c r="P84" s="39"/>
      <c r="Q84" s="407"/>
      <c r="R84" s="184"/>
      <c r="S84" s="193"/>
      <c r="T84" s="39"/>
      <c r="U84" s="468"/>
      <c r="V84" s="184"/>
      <c r="W84" s="193"/>
      <c r="X84" s="84"/>
      <c r="Y84" s="39"/>
      <c r="Z84" s="40"/>
      <c r="AA84" s="39"/>
      <c r="AB84" s="84"/>
      <c r="AC84" s="213" t="s">
        <v>317</v>
      </c>
      <c r="AD84" s="407"/>
      <c r="AE84" s="184"/>
      <c r="AF84" s="472"/>
      <c r="AG84" s="38"/>
      <c r="AH84" s="438" t="s">
        <v>41</v>
      </c>
      <c r="AI84" s="39"/>
      <c r="AJ84" s="39"/>
      <c r="AK84" s="84"/>
      <c r="AL84" s="39"/>
      <c r="AM84" s="39"/>
      <c r="AN84" s="39"/>
      <c r="AO84" s="84"/>
      <c r="AP84" s="407"/>
      <c r="AQ84" s="407"/>
      <c r="AR84" s="39"/>
      <c r="AS84" s="506" t="s">
        <v>368</v>
      </c>
      <c r="AT84" s="493" t="s">
        <v>72</v>
      </c>
      <c r="AU84" s="40"/>
      <c r="AV84" s="39"/>
      <c r="AW84" s="41"/>
      <c r="AX84" s="494" t="s">
        <v>68</v>
      </c>
      <c r="AY84" s="40"/>
      <c r="AZ84" s="39"/>
      <c r="BA84" s="184"/>
      <c r="BB84" s="84"/>
      <c r="BC84" s="39"/>
      <c r="BD84" s="407"/>
      <c r="BE84" s="39"/>
      <c r="BF84" s="41"/>
      <c r="BG84" s="38"/>
      <c r="BH84" s="40" t="s">
        <v>53</v>
      </c>
      <c r="BI84" s="407"/>
      <c r="BJ84" s="41"/>
      <c r="BK84" s="84"/>
      <c r="BL84" s="39" t="s">
        <v>69</v>
      </c>
      <c r="BM84" s="39" t="s">
        <v>45</v>
      </c>
      <c r="BN84" s="39"/>
      <c r="BO84" s="41"/>
      <c r="BP84" s="39" t="s">
        <v>55</v>
      </c>
      <c r="BQ84" s="40"/>
      <c r="BR84" s="39"/>
      <c r="BS84" s="41"/>
      <c r="BT84" s="38"/>
      <c r="BU84" s="40"/>
      <c r="BV84" s="39"/>
      <c r="BW84" s="41"/>
      <c r="BX84" s="84"/>
      <c r="BY84" s="39"/>
      <c r="BZ84" s="407"/>
      <c r="CA84" s="407"/>
      <c r="CB84" s="620"/>
      <c r="CC84" s="38"/>
      <c r="CD84" s="40"/>
      <c r="CE84" s="39"/>
      <c r="CF84" s="41"/>
      <c r="CG84" s="39"/>
      <c r="CH84" s="40"/>
      <c r="CI84" s="39"/>
      <c r="CJ84" s="41"/>
      <c r="CK84" s="84"/>
      <c r="CL84" s="39"/>
      <c r="CM84" s="407"/>
      <c r="CN84" s="407"/>
      <c r="CO84" s="41"/>
      <c r="CP84" s="38"/>
      <c r="CQ84" s="40"/>
      <c r="CR84" s="39"/>
      <c r="CS84" s="41"/>
      <c r="CT84" s="38"/>
      <c r="CU84" s="40"/>
      <c r="CV84" s="39"/>
      <c r="CW84" s="41"/>
      <c r="CX84" s="84"/>
      <c r="CY84" s="39"/>
      <c r="CZ84" s="407"/>
      <c r="DA84" s="407"/>
      <c r="DB84" s="41"/>
      <c r="DC84" s="38"/>
      <c r="DD84" s="40"/>
      <c r="DE84" s="39"/>
      <c r="DF84" s="41"/>
      <c r="DG84" s="38"/>
      <c r="DH84" s="40"/>
      <c r="DI84" s="39"/>
      <c r="DJ84" s="41"/>
      <c r="DK84" s="84"/>
      <c r="DL84" s="39"/>
      <c r="DM84" s="407"/>
      <c r="DN84" s="407"/>
      <c r="DO84" s="41"/>
      <c r="DP84" s="495" t="s">
        <v>323</v>
      </c>
    </row>
    <row r="85" spans="1:120" ht="12.75" customHeight="1" thickBot="1">
      <c r="A85" s="14"/>
      <c r="B85" s="396"/>
      <c r="C85" s="76"/>
      <c r="D85" s="82"/>
      <c r="E85" s="1"/>
      <c r="F85" s="82"/>
      <c r="G85" s="82"/>
      <c r="H85" s="66"/>
      <c r="I85" s="66"/>
      <c r="J85" s="82"/>
      <c r="K85" s="82"/>
      <c r="L85" s="82"/>
      <c r="M85" s="460"/>
      <c r="N85" s="460"/>
      <c r="O85" s="67"/>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7"/>
      <c r="BH85" s="66"/>
      <c r="BI85" s="66"/>
      <c r="BJ85" s="66"/>
      <c r="BK85" s="67"/>
      <c r="BL85" s="66"/>
      <c r="BM85" s="66"/>
      <c r="BN85" s="66"/>
      <c r="BO85" s="66"/>
      <c r="BP85" s="67"/>
      <c r="BQ85" s="66"/>
      <c r="BR85" s="66"/>
      <c r="BS85" s="66"/>
      <c r="BT85" s="67"/>
      <c r="BU85" s="66"/>
      <c r="BV85" s="66"/>
      <c r="BW85" s="66"/>
      <c r="BX85" s="67"/>
      <c r="BY85" s="66"/>
      <c r="BZ85" s="66"/>
      <c r="CA85" s="66"/>
      <c r="CB85" s="66"/>
      <c r="CC85" s="67"/>
      <c r="CD85" s="66"/>
      <c r="CE85" s="66"/>
      <c r="CF85" s="68"/>
      <c r="CG85" s="66"/>
      <c r="CH85" s="66"/>
      <c r="CI85" s="66"/>
      <c r="CJ85" s="66"/>
      <c r="CK85" s="67"/>
      <c r="CL85" s="66"/>
      <c r="CM85" s="66"/>
      <c r="CN85" s="66"/>
      <c r="CO85" s="68"/>
      <c r="CP85" s="67"/>
      <c r="CQ85" s="66"/>
      <c r="CR85" s="66"/>
      <c r="CS85" s="66"/>
      <c r="CT85" s="67"/>
      <c r="CU85" s="66"/>
      <c r="CV85" s="66"/>
      <c r="CW85" s="66"/>
      <c r="CX85" s="67"/>
      <c r="CY85" s="66"/>
      <c r="CZ85" s="66"/>
      <c r="DA85" s="66"/>
      <c r="DB85" s="68"/>
      <c r="DC85" s="67"/>
      <c r="DD85" s="66"/>
      <c r="DE85" s="66"/>
      <c r="DF85" s="66"/>
      <c r="DG85" s="67"/>
      <c r="DH85" s="66"/>
      <c r="DI85" s="66"/>
      <c r="DJ85" s="66"/>
      <c r="DK85" s="67"/>
      <c r="DL85" s="66"/>
      <c r="DM85" s="66"/>
      <c r="DN85" s="66"/>
      <c r="DO85" s="68"/>
      <c r="DP85" s="16"/>
    </row>
    <row r="86" spans="1:120" ht="12.75" customHeight="1" collapsed="1">
      <c r="A86" s="14"/>
      <c r="B86" s="396"/>
      <c r="C86" s="672" t="s">
        <v>596</v>
      </c>
      <c r="D86" s="691"/>
      <c r="E86" s="664" t="s">
        <v>37</v>
      </c>
      <c r="F86" s="481" t="s">
        <v>98</v>
      </c>
      <c r="G86" s="652" t="s">
        <v>345</v>
      </c>
      <c r="H86" s="274" t="s">
        <v>40</v>
      </c>
      <c r="I86" s="636">
        <f>I93</f>
        <v>1018768.35</v>
      </c>
      <c r="J86" s="641">
        <f>J93</f>
        <v>0</v>
      </c>
      <c r="K86" s="631">
        <f>K93</f>
        <v>0</v>
      </c>
      <c r="L86" s="639" t="s">
        <v>41</v>
      </c>
      <c r="M86" s="720">
        <v>0.39</v>
      </c>
      <c r="N86" s="724">
        <v>0.4</v>
      </c>
      <c r="O86" s="23"/>
      <c r="P86" s="25"/>
      <c r="Q86" s="25"/>
      <c r="R86" s="183"/>
      <c r="S86" s="27"/>
      <c r="T86" s="25"/>
      <c r="U86" s="25"/>
      <c r="V86" s="24"/>
      <c r="W86" s="26"/>
      <c r="X86" s="23"/>
      <c r="Y86" s="11" t="s">
        <v>28</v>
      </c>
      <c r="Z86" s="11" t="s">
        <v>27</v>
      </c>
      <c r="AA86" s="183"/>
      <c r="AB86" s="23"/>
      <c r="AC86" s="25"/>
      <c r="AD86" s="25"/>
      <c r="AE86" s="183"/>
      <c r="AF86" s="160"/>
      <c r="AG86" s="23"/>
      <c r="AH86" s="11" t="s">
        <v>354</v>
      </c>
      <c r="AI86" s="11" t="s">
        <v>108</v>
      </c>
      <c r="AJ86" s="28" t="s">
        <v>82</v>
      </c>
      <c r="AK86" s="25"/>
      <c r="AL86" s="25"/>
      <c r="AM86" s="25"/>
      <c r="AN86" s="26"/>
      <c r="AO86" s="23"/>
      <c r="AP86" s="25"/>
      <c r="AQ86" s="25"/>
      <c r="AR86" s="25"/>
      <c r="AS86" s="183"/>
      <c r="AT86" s="23"/>
      <c r="AU86" s="24"/>
      <c r="AV86" s="24"/>
      <c r="AW86" s="186" t="s">
        <v>25</v>
      </c>
      <c r="AX86" s="23"/>
      <c r="AY86" s="25"/>
      <c r="AZ86" s="24"/>
      <c r="BA86" s="26"/>
      <c r="BB86" s="25"/>
      <c r="BC86" s="24"/>
      <c r="BD86" s="160"/>
      <c r="BE86" s="160"/>
      <c r="BF86" s="183"/>
      <c r="BG86" s="23"/>
      <c r="BH86" s="160"/>
      <c r="BI86" s="160"/>
      <c r="BJ86" s="26"/>
      <c r="BK86" s="115" t="s">
        <v>24</v>
      </c>
      <c r="BL86" s="160"/>
      <c r="BM86" s="24"/>
      <c r="BN86" s="24"/>
      <c r="BO86" s="466" t="s">
        <v>101</v>
      </c>
      <c r="BP86" s="13" t="s">
        <v>101</v>
      </c>
      <c r="BQ86" s="12" t="s">
        <v>101</v>
      </c>
      <c r="BR86" s="12" t="s">
        <v>101</v>
      </c>
      <c r="BS86" s="183"/>
      <c r="BT86" s="22" t="s">
        <v>14</v>
      </c>
      <c r="BU86" s="260"/>
      <c r="BV86" s="432"/>
      <c r="BW86" s="183"/>
      <c r="BX86" s="255"/>
      <c r="BY86" s="260"/>
      <c r="BZ86" s="260"/>
      <c r="CA86" s="12" t="s">
        <v>30</v>
      </c>
      <c r="CB86" s="26"/>
      <c r="CC86" s="23"/>
      <c r="CD86" s="24"/>
      <c r="CE86" s="58"/>
      <c r="CF86" s="26" t="s">
        <v>109</v>
      </c>
      <c r="CG86" s="25" t="s">
        <v>109</v>
      </c>
      <c r="CH86" s="25" t="s">
        <v>109</v>
      </c>
      <c r="CI86" s="25" t="s">
        <v>109</v>
      </c>
      <c r="CJ86" s="25" t="s">
        <v>42</v>
      </c>
      <c r="CK86" s="23"/>
      <c r="CL86" s="25"/>
      <c r="CM86" s="24"/>
      <c r="CN86" s="183"/>
      <c r="CO86" s="27"/>
      <c r="CP86" s="23"/>
      <c r="CQ86" s="24"/>
      <c r="CR86" s="58"/>
      <c r="CS86" s="26"/>
      <c r="CT86" s="23"/>
      <c r="CU86" s="24"/>
      <c r="CV86" s="58"/>
      <c r="CW86" s="26"/>
      <c r="CX86" s="23"/>
      <c r="CY86" s="25"/>
      <c r="CZ86" s="24"/>
      <c r="DA86" s="183"/>
      <c r="DB86" s="27"/>
      <c r="DC86" s="23"/>
      <c r="DD86" s="24"/>
      <c r="DE86" s="58"/>
      <c r="DF86" s="26"/>
      <c r="DG86" s="23"/>
      <c r="DH86" s="24"/>
      <c r="DI86" s="58"/>
      <c r="DJ86" s="26"/>
      <c r="DK86" s="23"/>
      <c r="DL86" s="25"/>
      <c r="DM86" s="24"/>
      <c r="DN86" s="183"/>
      <c r="DO86" s="27"/>
      <c r="DP86" s="729" t="s">
        <v>205</v>
      </c>
    </row>
    <row r="87" spans="1:120" ht="12.75" hidden="1" customHeight="1" outlineLevel="1">
      <c r="A87" s="14"/>
      <c r="B87" s="396"/>
      <c r="C87" s="656"/>
      <c r="D87" s="657"/>
      <c r="E87" s="665"/>
      <c r="F87" s="42" t="s">
        <v>185</v>
      </c>
      <c r="G87" s="649"/>
      <c r="H87" s="482" t="s">
        <v>31</v>
      </c>
      <c r="I87" s="635"/>
      <c r="J87" s="642"/>
      <c r="K87" s="632"/>
      <c r="L87" s="630"/>
      <c r="M87" s="628"/>
      <c r="N87" s="628"/>
      <c r="O87" s="34"/>
      <c r="P87" s="129"/>
      <c r="Q87" s="129"/>
      <c r="R87" s="129"/>
      <c r="S87" s="142"/>
      <c r="T87" s="35"/>
      <c r="U87" s="129"/>
      <c r="V87" s="35"/>
      <c r="W87" s="189"/>
      <c r="X87" s="134"/>
      <c r="Y87" s="140" t="s">
        <v>301</v>
      </c>
      <c r="Z87" s="32" t="s">
        <v>34</v>
      </c>
      <c r="AA87" s="201" t="s">
        <v>199</v>
      </c>
      <c r="AB87" s="267" t="s">
        <v>315</v>
      </c>
      <c r="AC87" s="157" t="s">
        <v>336</v>
      </c>
      <c r="AD87" s="131" t="s">
        <v>330</v>
      </c>
      <c r="AE87" s="151" t="s">
        <v>335</v>
      </c>
      <c r="AF87" s="307" t="s">
        <v>35</v>
      </c>
      <c r="AG87" s="137" t="s">
        <v>371</v>
      </c>
      <c r="AH87" s="262" t="s">
        <v>32</v>
      </c>
      <c r="AI87" s="157" t="s">
        <v>111</v>
      </c>
      <c r="AJ87" s="143" t="s">
        <v>366</v>
      </c>
      <c r="AK87" s="140" t="s">
        <v>371</v>
      </c>
      <c r="AL87" s="140" t="s">
        <v>376</v>
      </c>
      <c r="AM87" s="265" t="s">
        <v>377</v>
      </c>
      <c r="AN87" s="131" t="s">
        <v>405</v>
      </c>
      <c r="AO87" s="149" t="s">
        <v>403</v>
      </c>
      <c r="AP87" s="131" t="s">
        <v>404</v>
      </c>
      <c r="AQ87" s="131" t="s">
        <v>406</v>
      </c>
      <c r="AR87" s="207" t="s">
        <v>420</v>
      </c>
      <c r="AS87" s="341" t="s">
        <v>433</v>
      </c>
      <c r="AT87" s="149" t="s">
        <v>434</v>
      </c>
      <c r="AU87" s="140" t="s">
        <v>453</v>
      </c>
      <c r="AV87" s="43" t="s">
        <v>454</v>
      </c>
      <c r="AW87" s="201" t="s">
        <v>406</v>
      </c>
      <c r="AX87" s="36" t="s">
        <v>36</v>
      </c>
      <c r="AY87" s="131" t="s">
        <v>479</v>
      </c>
      <c r="AZ87" s="157" t="s">
        <v>478</v>
      </c>
      <c r="BA87" s="158" t="s">
        <v>502</v>
      </c>
      <c r="BB87" s="140" t="s">
        <v>508</v>
      </c>
      <c r="BC87" s="207" t="s">
        <v>509</v>
      </c>
      <c r="BD87" s="151" t="s">
        <v>560</v>
      </c>
      <c r="BE87" s="140" t="s">
        <v>532</v>
      </c>
      <c r="BF87" s="201" t="s">
        <v>567</v>
      </c>
      <c r="BG87" s="137" t="s">
        <v>233</v>
      </c>
      <c r="BH87" s="270" t="s">
        <v>533</v>
      </c>
      <c r="BI87" s="157" t="s">
        <v>233</v>
      </c>
      <c r="BJ87" s="37"/>
      <c r="BK87" s="134"/>
      <c r="BL87" s="140" t="s">
        <v>568</v>
      </c>
      <c r="BM87" s="131" t="s">
        <v>558</v>
      </c>
      <c r="BN87" s="151" t="s">
        <v>187</v>
      </c>
      <c r="BO87" s="156" t="s">
        <v>558</v>
      </c>
      <c r="BP87" s="131" t="s">
        <v>559</v>
      </c>
      <c r="BQ87" s="176"/>
      <c r="BR87" s="176"/>
      <c r="BS87" s="117" t="s">
        <v>117</v>
      </c>
      <c r="BT87" s="623" t="s">
        <v>588</v>
      </c>
      <c r="BU87" s="162"/>
      <c r="BV87" s="176"/>
      <c r="BW87" s="176"/>
      <c r="BX87" s="133" t="s">
        <v>110</v>
      </c>
      <c r="BY87" s="129"/>
      <c r="BZ87" s="539" t="s">
        <v>138</v>
      </c>
      <c r="CA87" s="129"/>
      <c r="CB87" s="142"/>
      <c r="CC87" s="134"/>
      <c r="CD87" s="162"/>
      <c r="CE87" s="176"/>
      <c r="CF87" s="37"/>
      <c r="CG87" s="129"/>
      <c r="CH87" s="162"/>
      <c r="CI87" s="176"/>
      <c r="CJ87" s="37"/>
      <c r="CK87" s="134" t="s">
        <v>246</v>
      </c>
      <c r="CL87" s="129" t="s">
        <v>247</v>
      </c>
      <c r="CM87" s="129" t="s">
        <v>118</v>
      </c>
      <c r="CN87" s="129" t="s">
        <v>188</v>
      </c>
      <c r="CO87" s="142"/>
      <c r="CP87" s="134"/>
      <c r="CQ87" s="162"/>
      <c r="CR87" s="176"/>
      <c r="CS87" s="37"/>
      <c r="CT87" s="134"/>
      <c r="CU87" s="162"/>
      <c r="CV87" s="176"/>
      <c r="CW87" s="37"/>
      <c r="CX87" s="134"/>
      <c r="CY87" s="129"/>
      <c r="CZ87" s="129"/>
      <c r="DA87" s="129"/>
      <c r="DB87" s="142"/>
      <c r="DC87" s="134"/>
      <c r="DD87" s="162"/>
      <c r="DE87" s="176"/>
      <c r="DF87" s="37"/>
      <c r="DG87" s="134"/>
      <c r="DH87" s="162"/>
      <c r="DI87" s="176"/>
      <c r="DJ87" s="37"/>
      <c r="DK87" s="134"/>
      <c r="DL87" s="129"/>
      <c r="DM87" s="129"/>
      <c r="DN87" s="129"/>
      <c r="DO87" s="142"/>
      <c r="DP87" s="718"/>
    </row>
    <row r="88" spans="1:120" ht="12.75" hidden="1" customHeight="1" outlineLevel="1">
      <c r="A88" s="14"/>
      <c r="B88" s="396"/>
      <c r="C88" s="656"/>
      <c r="D88" s="657"/>
      <c r="E88" s="665"/>
      <c r="F88" s="357" t="s">
        <v>388</v>
      </c>
      <c r="G88" s="649"/>
      <c r="H88" s="483" t="s">
        <v>66</v>
      </c>
      <c r="I88" s="635"/>
      <c r="J88" s="642"/>
      <c r="K88" s="632"/>
      <c r="L88" s="630"/>
      <c r="M88" s="628"/>
      <c r="N88" s="628"/>
      <c r="O88" s="46"/>
      <c r="P88" s="47"/>
      <c r="Q88" s="47"/>
      <c r="R88" s="177"/>
      <c r="S88" s="190"/>
      <c r="T88" s="47"/>
      <c r="U88" s="47"/>
      <c r="V88" s="47"/>
      <c r="W88" s="190"/>
      <c r="X88" s="149" t="s">
        <v>321</v>
      </c>
      <c r="Y88" s="140" t="s">
        <v>302</v>
      </c>
      <c r="Z88" s="201" t="s">
        <v>307</v>
      </c>
      <c r="AA88" s="307" t="s">
        <v>194</v>
      </c>
      <c r="AB88" s="135"/>
      <c r="AC88" s="32" t="s">
        <v>193</v>
      </c>
      <c r="AD88" s="140" t="s">
        <v>325</v>
      </c>
      <c r="AE88" s="177"/>
      <c r="AF88" s="270" t="s">
        <v>342</v>
      </c>
      <c r="AG88" s="149" t="s">
        <v>341</v>
      </c>
      <c r="AH88" s="47"/>
      <c r="AI88" s="47"/>
      <c r="AJ88" s="48"/>
      <c r="AK88" s="56" t="s">
        <v>65</v>
      </c>
      <c r="AL88" s="47"/>
      <c r="AM88" s="47"/>
      <c r="AN88" s="151" t="s">
        <v>300</v>
      </c>
      <c r="AO88" s="149" t="s">
        <v>419</v>
      </c>
      <c r="AP88" s="32" t="s">
        <v>192</v>
      </c>
      <c r="AQ88" s="47"/>
      <c r="AR88" s="290"/>
      <c r="AS88" s="262" t="s">
        <v>65</v>
      </c>
      <c r="AT88" s="155" t="s">
        <v>190</v>
      </c>
      <c r="AU88" s="140" t="s">
        <v>451</v>
      </c>
      <c r="AV88" s="32" t="s">
        <v>73</v>
      </c>
      <c r="AW88" s="262" t="s">
        <v>192</v>
      </c>
      <c r="AX88" s="149" t="s">
        <v>190</v>
      </c>
      <c r="AY88" s="47"/>
      <c r="AZ88" s="509"/>
      <c r="BA88" s="150" t="s">
        <v>52</v>
      </c>
      <c r="BB88" s="47"/>
      <c r="BC88" s="138"/>
      <c r="BD88" s="138"/>
      <c r="BE88" s="177"/>
      <c r="BF88" s="223"/>
      <c r="BG88" s="46"/>
      <c r="BH88" s="138"/>
      <c r="BI88" s="47"/>
      <c r="BJ88" s="48"/>
      <c r="BK88" s="404" t="s">
        <v>96</v>
      </c>
      <c r="BL88" s="427" t="s">
        <v>122</v>
      </c>
      <c r="BM88" s="273" t="s">
        <v>96</v>
      </c>
      <c r="BN88" s="177"/>
      <c r="BO88" s="256" t="s">
        <v>122</v>
      </c>
      <c r="BP88" s="47"/>
      <c r="BQ88" s="47"/>
      <c r="BR88" s="47"/>
      <c r="BS88" s="177"/>
      <c r="BT88" s="46"/>
      <c r="BU88" s="138"/>
      <c r="BV88" s="47"/>
      <c r="BW88" s="177"/>
      <c r="BX88" s="133" t="s">
        <v>119</v>
      </c>
      <c r="BY88" s="47"/>
      <c r="BZ88" s="47"/>
      <c r="CA88" s="47"/>
      <c r="CB88" s="48"/>
      <c r="CC88" s="46"/>
      <c r="CD88" s="138"/>
      <c r="CE88" s="47"/>
      <c r="CF88" s="48"/>
      <c r="CG88" s="47"/>
      <c r="CH88" s="138"/>
      <c r="CI88" s="47"/>
      <c r="CJ88" s="48"/>
      <c r="CK88" s="46"/>
      <c r="CL88" s="47"/>
      <c r="CM88" s="47"/>
      <c r="CN88" s="177"/>
      <c r="CO88" s="48"/>
      <c r="CP88" s="46"/>
      <c r="CQ88" s="138"/>
      <c r="CR88" s="47"/>
      <c r="CS88" s="48"/>
      <c r="CT88" s="46"/>
      <c r="CU88" s="138"/>
      <c r="CV88" s="47"/>
      <c r="CW88" s="48"/>
      <c r="CX88" s="46"/>
      <c r="CY88" s="47"/>
      <c r="CZ88" s="47"/>
      <c r="DA88" s="177"/>
      <c r="DB88" s="48"/>
      <c r="DC88" s="46"/>
      <c r="DD88" s="138"/>
      <c r="DE88" s="47"/>
      <c r="DF88" s="48"/>
      <c r="DG88" s="46"/>
      <c r="DH88" s="138"/>
      <c r="DI88" s="47"/>
      <c r="DJ88" s="48"/>
      <c r="DK88" s="46"/>
      <c r="DL88" s="47"/>
      <c r="DM88" s="47"/>
      <c r="DN88" s="177"/>
      <c r="DO88" s="48"/>
      <c r="DP88" s="718"/>
    </row>
    <row r="89" spans="1:120" ht="12.75" hidden="1" customHeight="1" outlineLevel="1">
      <c r="A89" s="14"/>
      <c r="B89" s="396"/>
      <c r="C89" s="656"/>
      <c r="D89" s="657"/>
      <c r="E89" s="665"/>
      <c r="F89" s="357"/>
      <c r="G89" s="498"/>
      <c r="H89" s="483" t="s">
        <v>534</v>
      </c>
      <c r="I89" s="635"/>
      <c r="J89" s="642"/>
      <c r="K89" s="632"/>
      <c r="L89" s="630"/>
      <c r="M89" s="628"/>
      <c r="N89" s="628"/>
      <c r="O89" s="327"/>
      <c r="P89" s="328"/>
      <c r="Q89" s="328"/>
      <c r="R89" s="330"/>
      <c r="S89" s="286"/>
      <c r="T89" s="328"/>
      <c r="U89" s="328"/>
      <c r="V89" s="330"/>
      <c r="W89" s="286"/>
      <c r="X89" s="332"/>
      <c r="Y89" s="331"/>
      <c r="Z89" s="304"/>
      <c r="AA89" s="330"/>
      <c r="AB89" s="332"/>
      <c r="AC89" s="328"/>
      <c r="AD89" s="331"/>
      <c r="AE89" s="330"/>
      <c r="AF89" s="559"/>
      <c r="AG89" s="332"/>
      <c r="AH89" s="328"/>
      <c r="AI89" s="330"/>
      <c r="AJ89" s="329"/>
      <c r="AK89" s="353"/>
      <c r="AL89" s="328"/>
      <c r="AM89" s="328"/>
      <c r="AN89" s="304"/>
      <c r="AO89" s="332"/>
      <c r="AP89" s="328"/>
      <c r="AQ89" s="328"/>
      <c r="AR89" s="328"/>
      <c r="AS89" s="330"/>
      <c r="AT89" s="546"/>
      <c r="AU89" s="331"/>
      <c r="AV89" s="328"/>
      <c r="AW89" s="330"/>
      <c r="AX89" s="332"/>
      <c r="AY89" s="328"/>
      <c r="AZ89" s="558"/>
      <c r="BA89" s="329"/>
      <c r="BB89" s="328"/>
      <c r="BC89" s="331"/>
      <c r="BD89" s="331"/>
      <c r="BE89" s="328"/>
      <c r="BF89" s="329"/>
      <c r="BG89" s="327"/>
      <c r="BH89" s="331"/>
      <c r="BI89" s="328"/>
      <c r="BJ89" s="560" t="s">
        <v>539</v>
      </c>
      <c r="BK89" s="404" t="s">
        <v>553</v>
      </c>
      <c r="BL89" s="419" t="s">
        <v>554</v>
      </c>
      <c r="BM89" s="356" t="s">
        <v>555</v>
      </c>
      <c r="BN89" s="408" t="s">
        <v>556</v>
      </c>
      <c r="BO89" s="560" t="s">
        <v>557</v>
      </c>
      <c r="BP89" s="334" t="s">
        <v>128</v>
      </c>
      <c r="BQ89" s="331"/>
      <c r="BR89" s="331"/>
      <c r="BS89" s="565" t="s">
        <v>589</v>
      </c>
      <c r="BT89" s="46"/>
      <c r="BU89" s="565" t="s">
        <v>580</v>
      </c>
      <c r="BV89" s="565" t="s">
        <v>581</v>
      </c>
      <c r="BW89" s="565" t="s">
        <v>582</v>
      </c>
      <c r="BX89" s="46"/>
      <c r="BY89" s="47"/>
      <c r="BZ89" s="47"/>
      <c r="CA89" s="47"/>
      <c r="CB89" s="48"/>
      <c r="CC89" s="327"/>
      <c r="CD89" s="331"/>
      <c r="CE89" s="328"/>
      <c r="CF89" s="329"/>
      <c r="CG89" s="328"/>
      <c r="CH89" s="331"/>
      <c r="CI89" s="328"/>
      <c r="CJ89" s="329"/>
      <c r="CK89" s="327"/>
      <c r="CL89" s="328"/>
      <c r="CM89" s="328"/>
      <c r="CN89" s="330"/>
      <c r="CO89" s="329"/>
      <c r="CP89" s="327"/>
      <c r="CQ89" s="331"/>
      <c r="CR89" s="328"/>
      <c r="CS89" s="329"/>
      <c r="CT89" s="327"/>
      <c r="CU89" s="331"/>
      <c r="CV89" s="328"/>
      <c r="CW89" s="329"/>
      <c r="CX89" s="327"/>
      <c r="CY89" s="328"/>
      <c r="CZ89" s="328"/>
      <c r="DA89" s="330"/>
      <c r="DB89" s="329"/>
      <c r="DC89" s="327"/>
      <c r="DD89" s="331"/>
      <c r="DE89" s="328"/>
      <c r="DF89" s="329"/>
      <c r="DG89" s="327"/>
      <c r="DH89" s="331"/>
      <c r="DI89" s="328"/>
      <c r="DJ89" s="329"/>
      <c r="DK89" s="327"/>
      <c r="DL89" s="328"/>
      <c r="DM89" s="328"/>
      <c r="DN89" s="330"/>
      <c r="DO89" s="329"/>
      <c r="DP89" s="718"/>
    </row>
    <row r="90" spans="1:120" ht="12.75" hidden="1" customHeight="1" outlineLevel="1">
      <c r="A90" s="14"/>
      <c r="B90" s="396"/>
      <c r="C90" s="656"/>
      <c r="D90" s="657"/>
      <c r="E90" s="665"/>
      <c r="F90" s="225" t="s">
        <v>0</v>
      </c>
      <c r="G90" s="649" t="str">
        <f>G86</f>
        <v>Setting phase</v>
      </c>
      <c r="H90" s="484" t="s">
        <v>129</v>
      </c>
      <c r="I90" s="635"/>
      <c r="J90" s="642"/>
      <c r="K90" s="632"/>
      <c r="L90" s="630"/>
      <c r="M90" s="628"/>
      <c r="N90" s="628"/>
      <c r="O90" s="218"/>
      <c r="P90" s="242"/>
      <c r="Q90" s="242"/>
      <c r="R90" s="242"/>
      <c r="S90" s="244"/>
      <c r="T90" s="242"/>
      <c r="U90" s="242"/>
      <c r="V90" s="245"/>
      <c r="W90" s="244"/>
      <c r="X90" s="218"/>
      <c r="Y90" s="276" t="s">
        <v>303</v>
      </c>
      <c r="Z90" s="198" t="s">
        <v>27</v>
      </c>
      <c r="AA90" s="245"/>
      <c r="AB90" s="218"/>
      <c r="AC90" s="242"/>
      <c r="AD90" s="242"/>
      <c r="AE90" s="245"/>
      <c r="AF90" s="305"/>
      <c r="AG90" s="351" t="s">
        <v>360</v>
      </c>
      <c r="AH90" s="198" t="s">
        <v>26</v>
      </c>
      <c r="AI90" s="245"/>
      <c r="AJ90" s="244"/>
      <c r="AK90" s="242"/>
      <c r="AL90" s="242"/>
      <c r="AM90" s="242"/>
      <c r="AN90" s="246"/>
      <c r="AO90" s="218"/>
      <c r="AP90" s="242"/>
      <c r="AQ90" s="242"/>
      <c r="AR90" s="242"/>
      <c r="AS90" s="305"/>
      <c r="AT90" s="351" t="s">
        <v>437</v>
      </c>
      <c r="AU90" s="242"/>
      <c r="AV90" s="282" t="s">
        <v>455</v>
      </c>
      <c r="AW90" s="315" t="s">
        <v>468</v>
      </c>
      <c r="AX90" s="218"/>
      <c r="AY90" s="242"/>
      <c r="AZ90" s="242"/>
      <c r="BA90" s="246"/>
      <c r="BB90" s="242"/>
      <c r="BC90" s="251"/>
      <c r="BD90" s="251"/>
      <c r="BE90" s="352" t="s">
        <v>543</v>
      </c>
      <c r="BF90" s="245"/>
      <c r="BG90" s="414"/>
      <c r="BH90" s="210" t="s">
        <v>548</v>
      </c>
      <c r="BI90" s="282" t="s">
        <v>562</v>
      </c>
      <c r="BJ90" s="263" t="s">
        <v>511</v>
      </c>
      <c r="BK90" s="294" t="s">
        <v>563</v>
      </c>
      <c r="BL90" s="83" t="s">
        <v>128</v>
      </c>
      <c r="BM90" s="282" t="s">
        <v>511</v>
      </c>
      <c r="BN90" s="282" t="s">
        <v>512</v>
      </c>
      <c r="BO90" s="557" t="s">
        <v>512</v>
      </c>
      <c r="BP90" s="282" t="s">
        <v>579</v>
      </c>
      <c r="BQ90" s="334" t="s">
        <v>511</v>
      </c>
      <c r="BR90" s="334" t="s">
        <v>513</v>
      </c>
      <c r="BS90" s="245"/>
      <c r="BT90" s="435" t="s">
        <v>14</v>
      </c>
      <c r="BU90" s="242"/>
      <c r="BV90" s="242"/>
      <c r="BW90" s="245"/>
      <c r="BX90" s="219" t="s">
        <v>109</v>
      </c>
      <c r="BY90" s="376" t="s">
        <v>109</v>
      </c>
      <c r="BZ90" s="376" t="s">
        <v>109</v>
      </c>
      <c r="CA90" s="376" t="s">
        <v>109</v>
      </c>
      <c r="CB90" s="287" t="s">
        <v>42</v>
      </c>
      <c r="CC90" s="218"/>
      <c r="CD90" s="242"/>
      <c r="CE90" s="242"/>
      <c r="CF90" s="246"/>
      <c r="CG90" s="242"/>
      <c r="CH90" s="242"/>
      <c r="CI90" s="242"/>
      <c r="CJ90" s="246"/>
      <c r="CK90" s="218"/>
      <c r="CL90" s="242"/>
      <c r="CM90" s="242"/>
      <c r="CN90" s="245"/>
      <c r="CO90" s="373"/>
      <c r="CP90" s="218"/>
      <c r="CQ90" s="242"/>
      <c r="CR90" s="242"/>
      <c r="CS90" s="246"/>
      <c r="CT90" s="218"/>
      <c r="CU90" s="242"/>
      <c r="CV90" s="242"/>
      <c r="CW90" s="246"/>
      <c r="CX90" s="218"/>
      <c r="CY90" s="242"/>
      <c r="CZ90" s="242"/>
      <c r="DA90" s="245"/>
      <c r="DB90" s="373"/>
      <c r="DC90" s="218"/>
      <c r="DD90" s="242"/>
      <c r="DE90" s="242"/>
      <c r="DF90" s="246"/>
      <c r="DG90" s="218"/>
      <c r="DH90" s="242"/>
      <c r="DI90" s="242"/>
      <c r="DJ90" s="246"/>
      <c r="DK90" s="218"/>
      <c r="DL90" s="242"/>
      <c r="DM90" s="242"/>
      <c r="DN90" s="245"/>
      <c r="DO90" s="373"/>
      <c r="DP90" s="718"/>
    </row>
    <row r="91" spans="1:120" ht="12.75" hidden="1" customHeight="1" outlineLevel="1">
      <c r="A91" s="14"/>
      <c r="B91" s="396"/>
      <c r="C91" s="656"/>
      <c r="D91" s="657"/>
      <c r="E91" s="665"/>
      <c r="F91" s="225" t="s">
        <v>0</v>
      </c>
      <c r="G91" s="649"/>
      <c r="H91" s="609" t="s">
        <v>130</v>
      </c>
      <c r="I91" s="635"/>
      <c r="J91" s="642"/>
      <c r="K91" s="632"/>
      <c r="L91" s="630"/>
      <c r="M91" s="629"/>
      <c r="N91" s="628"/>
      <c r="O91" s="278"/>
      <c r="P91" s="279"/>
      <c r="Q91" s="279"/>
      <c r="R91" s="64"/>
      <c r="S91" s="243"/>
      <c r="T91" s="146"/>
      <c r="U91" s="72"/>
      <c r="V91" s="338"/>
      <c r="W91" s="277"/>
      <c r="X91" s="278"/>
      <c r="Y91" s="279"/>
      <c r="Z91" s="279"/>
      <c r="AA91" s="185" t="s">
        <v>121</v>
      </c>
      <c r="AB91" s="278"/>
      <c r="AC91" s="279"/>
      <c r="AD91" s="279"/>
      <c r="AE91" s="474" t="s">
        <v>38</v>
      </c>
      <c r="AF91" s="437">
        <v>0.39</v>
      </c>
      <c r="AG91" s="146"/>
      <c r="AH91" s="72"/>
      <c r="AI91" s="345" t="s">
        <v>38</v>
      </c>
      <c r="AJ91" s="424">
        <v>0.4</v>
      </c>
      <c r="AK91" s="279"/>
      <c r="AL91" s="437">
        <v>0.4</v>
      </c>
      <c r="AM91" s="474" t="s">
        <v>162</v>
      </c>
      <c r="AN91" s="277"/>
      <c r="AO91" s="278"/>
      <c r="AP91" s="279"/>
      <c r="AQ91" s="279"/>
      <c r="AR91" s="519" t="s">
        <v>412</v>
      </c>
      <c r="AS91" s="437">
        <v>0.4</v>
      </c>
      <c r="AT91" s="278"/>
      <c r="AU91" s="279"/>
      <c r="AV91" s="519" t="s">
        <v>171</v>
      </c>
      <c r="AW91" s="322"/>
      <c r="AX91" s="278"/>
      <c r="AY91" s="279"/>
      <c r="AZ91" s="519" t="s">
        <v>201</v>
      </c>
      <c r="BA91" s="277"/>
      <c r="BB91" s="279"/>
      <c r="BC91" s="279"/>
      <c r="BD91" s="279"/>
      <c r="BE91" s="568" t="s">
        <v>229</v>
      </c>
      <c r="BF91" s="322"/>
      <c r="BG91" s="146"/>
      <c r="BH91" s="72"/>
      <c r="BI91" s="568" t="s">
        <v>201</v>
      </c>
      <c r="BJ91" s="277"/>
      <c r="BK91" s="278"/>
      <c r="BL91" s="72"/>
      <c r="BM91" s="338"/>
      <c r="BN91" s="568" t="s">
        <v>241</v>
      </c>
      <c r="BO91" s="277"/>
      <c r="BP91" s="72"/>
      <c r="BQ91" s="72"/>
      <c r="BR91" s="340" t="s">
        <v>171</v>
      </c>
      <c r="BS91" s="322"/>
      <c r="BT91" s="146"/>
      <c r="BU91" s="72"/>
      <c r="BV91" s="340" t="s">
        <v>171</v>
      </c>
      <c r="BW91" s="322"/>
      <c r="BX91" s="280"/>
      <c r="BY91" s="153"/>
      <c r="BZ91" s="368"/>
      <c r="CA91" s="153"/>
      <c r="CB91" s="250"/>
      <c r="CC91" s="146"/>
      <c r="CD91" s="72"/>
      <c r="CE91" s="338"/>
      <c r="CF91" s="277"/>
      <c r="CG91" s="72"/>
      <c r="CH91" s="72"/>
      <c r="CI91" s="338"/>
      <c r="CJ91" s="277"/>
      <c r="CK91" s="278"/>
      <c r="CL91" s="72"/>
      <c r="CM91" s="338"/>
      <c r="CN91" s="247"/>
      <c r="CO91" s="374"/>
      <c r="CP91" s="146"/>
      <c r="CQ91" s="72"/>
      <c r="CR91" s="338"/>
      <c r="CS91" s="277"/>
      <c r="CT91" s="146"/>
      <c r="CU91" s="72"/>
      <c r="CV91" s="338"/>
      <c r="CW91" s="277"/>
      <c r="CX91" s="278"/>
      <c r="CY91" s="72"/>
      <c r="CZ91" s="338"/>
      <c r="DA91" s="247"/>
      <c r="DB91" s="374"/>
      <c r="DC91" s="146"/>
      <c r="DD91" s="72"/>
      <c r="DE91" s="338"/>
      <c r="DF91" s="277"/>
      <c r="DG91" s="146"/>
      <c r="DH91" s="72"/>
      <c r="DI91" s="338"/>
      <c r="DJ91" s="277"/>
      <c r="DK91" s="278"/>
      <c r="DL91" s="72"/>
      <c r="DM91" s="338"/>
      <c r="DN91" s="247"/>
      <c r="DO91" s="374"/>
      <c r="DP91" s="719"/>
    </row>
    <row r="92" spans="1:120" ht="12.75" hidden="1" customHeight="1" outlineLevel="1">
      <c r="A92" s="14"/>
      <c r="B92" s="396"/>
      <c r="C92" s="656"/>
      <c r="D92" s="657"/>
      <c r="E92" s="665"/>
      <c r="F92" s="225" t="s">
        <v>0</v>
      </c>
      <c r="G92" s="498"/>
      <c r="H92" s="484" t="s">
        <v>157</v>
      </c>
      <c r="I92" s="635"/>
      <c r="J92" s="642"/>
      <c r="K92" s="632"/>
      <c r="L92" s="630"/>
      <c r="M92" s="629"/>
      <c r="N92" s="628"/>
      <c r="O92" s="154"/>
      <c r="P92" s="153"/>
      <c r="Q92" s="153"/>
      <c r="R92" s="200"/>
      <c r="S92" s="248"/>
      <c r="T92" s="153"/>
      <c r="U92" s="153"/>
      <c r="V92" s="249"/>
      <c r="W92" s="248"/>
      <c r="X92" s="154"/>
      <c r="Y92" s="303" t="s">
        <v>296</v>
      </c>
      <c r="Z92" s="153"/>
      <c r="AA92" s="249"/>
      <c r="AB92" s="146"/>
      <c r="AC92" s="72"/>
      <c r="AD92" s="72"/>
      <c r="AE92" s="249"/>
      <c r="AF92" s="310"/>
      <c r="AG92" s="154"/>
      <c r="AH92" s="153"/>
      <c r="AI92" s="249"/>
      <c r="AJ92" s="248"/>
      <c r="AK92" s="153"/>
      <c r="AL92" s="153"/>
      <c r="AM92" s="153"/>
      <c r="AN92" s="153"/>
      <c r="AO92" s="154"/>
      <c r="AP92" s="153"/>
      <c r="AQ92" s="153"/>
      <c r="AR92" s="249"/>
      <c r="AS92" s="310"/>
      <c r="AT92" s="154"/>
      <c r="AU92" s="153"/>
      <c r="AV92" s="153"/>
      <c r="AW92" s="249"/>
      <c r="AX92" s="146"/>
      <c r="AY92" s="153"/>
      <c r="AZ92" s="153"/>
      <c r="BA92" s="250"/>
      <c r="BB92" s="72"/>
      <c r="BC92" s="153"/>
      <c r="BD92" s="153"/>
      <c r="BE92" s="153"/>
      <c r="BF92" s="249"/>
      <c r="BG92" s="154"/>
      <c r="BH92" s="153"/>
      <c r="BI92" s="153"/>
      <c r="BJ92" s="250"/>
      <c r="BK92" s="146"/>
      <c r="BL92" s="153"/>
      <c r="BM92" s="72"/>
      <c r="BN92" s="153"/>
      <c r="BO92" s="250"/>
      <c r="BP92" s="570" t="s">
        <v>297</v>
      </c>
      <c r="BQ92" s="153"/>
      <c r="BR92" s="153"/>
      <c r="BS92" s="347" t="s">
        <v>160</v>
      </c>
      <c r="BT92" s="253" t="s">
        <v>152</v>
      </c>
      <c r="BU92" s="72"/>
      <c r="BV92" s="72"/>
      <c r="BW92" s="247"/>
      <c r="BX92" s="619" t="s">
        <v>160</v>
      </c>
      <c r="BY92" s="240" t="s">
        <v>152</v>
      </c>
      <c r="BZ92" s="72"/>
      <c r="CA92" s="72"/>
      <c r="CB92" s="349" t="s">
        <v>153</v>
      </c>
      <c r="CC92" s="154"/>
      <c r="CD92" s="153"/>
      <c r="CE92" s="153"/>
      <c r="CF92" s="136"/>
      <c r="CG92" s="153"/>
      <c r="CH92" s="153"/>
      <c r="CI92" s="153"/>
      <c r="CJ92" s="247"/>
      <c r="CK92" s="146"/>
      <c r="CL92" s="153"/>
      <c r="CM92" s="72"/>
      <c r="CN92" s="247"/>
      <c r="CO92" s="250"/>
      <c r="CP92" s="154"/>
      <c r="CQ92" s="153"/>
      <c r="CR92" s="153"/>
      <c r="CS92" s="247"/>
      <c r="CT92" s="154"/>
      <c r="CU92" s="153"/>
      <c r="CV92" s="153"/>
      <c r="CW92" s="247"/>
      <c r="CX92" s="146"/>
      <c r="CY92" s="153"/>
      <c r="CZ92" s="72"/>
      <c r="DA92" s="247"/>
      <c r="DB92" s="250"/>
      <c r="DC92" s="154"/>
      <c r="DD92" s="153"/>
      <c r="DE92" s="153"/>
      <c r="DF92" s="247"/>
      <c r="DG92" s="154"/>
      <c r="DH92" s="153"/>
      <c r="DI92" s="153"/>
      <c r="DJ92" s="247"/>
      <c r="DK92" s="146"/>
      <c r="DL92" s="153"/>
      <c r="DM92" s="72"/>
      <c r="DN92" s="247"/>
      <c r="DO92" s="250"/>
      <c r="DP92" s="241" t="s">
        <v>298</v>
      </c>
    </row>
    <row r="93" spans="1:120" ht="12.75" hidden="1" customHeight="1" outlineLevel="1" thickBot="1">
      <c r="A93" s="14"/>
      <c r="B93" s="396"/>
      <c r="C93" s="658"/>
      <c r="D93" s="659"/>
      <c r="E93" s="666"/>
      <c r="F93" s="359" t="s">
        <v>0</v>
      </c>
      <c r="G93" s="552"/>
      <c r="H93" s="489" t="s">
        <v>39</v>
      </c>
      <c r="I93" s="101">
        <v>1018768.35</v>
      </c>
      <c r="J93" s="102"/>
      <c r="K93" s="103"/>
      <c r="L93" s="128">
        <v>4700033881</v>
      </c>
      <c r="M93" s="439"/>
      <c r="N93" s="439"/>
      <c r="O93" s="84"/>
      <c r="P93" s="39"/>
      <c r="Q93" s="407"/>
      <c r="R93" s="184"/>
      <c r="S93" s="193"/>
      <c r="T93" s="39"/>
      <c r="U93" s="468"/>
      <c r="V93" s="184"/>
      <c r="W93" s="193"/>
      <c r="X93" s="84"/>
      <c r="Y93" s="213" t="s">
        <v>299</v>
      </c>
      <c r="Z93" s="39"/>
      <c r="AA93" s="213" t="s">
        <v>70</v>
      </c>
      <c r="AB93" s="84"/>
      <c r="AC93" s="422"/>
      <c r="AD93" s="553"/>
      <c r="AE93" s="554"/>
      <c r="AF93" s="472"/>
      <c r="AG93" s="38"/>
      <c r="AH93" s="468"/>
      <c r="AI93" s="184"/>
      <c r="AJ93" s="193"/>
      <c r="AK93" s="422"/>
      <c r="AL93" s="39"/>
      <c r="AM93" s="40"/>
      <c r="AN93" s="39"/>
      <c r="AO93" s="84"/>
      <c r="AP93" s="39"/>
      <c r="AQ93" s="407"/>
      <c r="AR93" s="39"/>
      <c r="AS93" s="184"/>
      <c r="AT93" s="38"/>
      <c r="AU93" s="40"/>
      <c r="AV93" s="39"/>
      <c r="AW93" s="184"/>
      <c r="AX93" s="38"/>
      <c r="AY93" s="40"/>
      <c r="AZ93" s="39"/>
      <c r="BA93" s="41"/>
      <c r="BB93" s="422"/>
      <c r="BC93" s="39"/>
      <c r="BD93" s="407"/>
      <c r="BE93" s="39"/>
      <c r="BF93" s="184"/>
      <c r="BG93" s="38"/>
      <c r="BH93" s="40"/>
      <c r="BI93" s="39"/>
      <c r="BJ93" s="41"/>
      <c r="BK93" s="84"/>
      <c r="BL93" s="39"/>
      <c r="BM93" s="407"/>
      <c r="BN93" s="407"/>
      <c r="BO93" s="41"/>
      <c r="BP93" s="562" t="s">
        <v>46</v>
      </c>
      <c r="BQ93" s="40"/>
      <c r="BR93" s="39"/>
      <c r="BS93" s="41"/>
      <c r="BT93" s="381" t="s">
        <v>46</v>
      </c>
      <c r="BU93" s="40"/>
      <c r="BV93" s="39"/>
      <c r="BW93" s="184"/>
      <c r="BX93" s="624" t="s">
        <v>71</v>
      </c>
      <c r="BY93" s="39"/>
      <c r="BZ93" s="407"/>
      <c r="CA93" s="407"/>
      <c r="CB93" s="41"/>
      <c r="CC93" s="38"/>
      <c r="CD93" s="40"/>
      <c r="CE93" s="39"/>
      <c r="CF93" s="41" t="s">
        <v>45</v>
      </c>
      <c r="CG93" s="39"/>
      <c r="CH93" s="40"/>
      <c r="CI93" s="39"/>
      <c r="CJ93" s="625" t="s">
        <v>55</v>
      </c>
      <c r="CK93" s="84"/>
      <c r="CL93" s="39"/>
      <c r="CM93" s="407"/>
      <c r="CN93" s="407"/>
      <c r="CO93" s="41"/>
      <c r="CP93" s="40"/>
      <c r="CQ93" s="40"/>
      <c r="CR93" s="39"/>
      <c r="CS93" s="41"/>
      <c r="CT93" s="40"/>
      <c r="CU93" s="40"/>
      <c r="CV93" s="39"/>
      <c r="CW93" s="41"/>
      <c r="CX93" s="84"/>
      <c r="CY93" s="39"/>
      <c r="CZ93" s="407"/>
      <c r="DA93" s="407"/>
      <c r="DB93" s="41"/>
      <c r="DC93" s="40"/>
      <c r="DD93" s="40"/>
      <c r="DE93" s="39"/>
      <c r="DF93" s="41"/>
      <c r="DG93" s="40"/>
      <c r="DH93" s="40"/>
      <c r="DI93" s="39"/>
      <c r="DJ93" s="41"/>
      <c r="DK93" s="84"/>
      <c r="DL93" s="39"/>
      <c r="DM93" s="407"/>
      <c r="DN93" s="407"/>
      <c r="DO93" s="41"/>
      <c r="DP93" s="423" t="s">
        <v>309</v>
      </c>
    </row>
    <row r="94" spans="1:120" ht="12.75" hidden="1" customHeight="1" outlineLevel="1">
      <c r="A94" s="14"/>
      <c r="B94" s="396"/>
      <c r="C94" s="656"/>
      <c r="D94" s="657"/>
      <c r="E94" s="630"/>
      <c r="F94" s="42" t="s">
        <v>223</v>
      </c>
      <c r="G94" s="649"/>
      <c r="H94" s="482" t="s">
        <v>31</v>
      </c>
      <c r="I94" s="635"/>
      <c r="J94" s="642"/>
      <c r="K94" s="632"/>
      <c r="L94" s="630"/>
      <c r="M94" s="628"/>
      <c r="N94" s="628"/>
      <c r="O94" s="131" t="s">
        <v>242</v>
      </c>
      <c r="P94" s="35"/>
      <c r="Q94" s="35"/>
      <c r="R94" s="35"/>
      <c r="S94" s="35"/>
      <c r="T94" s="34"/>
      <c r="U94" s="35"/>
      <c r="V94" s="35"/>
      <c r="W94" s="37"/>
      <c r="X94" s="34"/>
      <c r="Y94" s="35"/>
      <c r="Z94" s="35"/>
      <c r="AA94" s="35"/>
      <c r="AB94" s="161" t="s">
        <v>277</v>
      </c>
      <c r="AC94" s="35"/>
      <c r="AD94" s="35"/>
      <c r="AE94" s="35"/>
      <c r="AF94" s="37"/>
      <c r="AG94" s="34"/>
      <c r="AH94" s="35"/>
      <c r="AI94" s="35"/>
      <c r="AJ94" s="176"/>
      <c r="AK94" s="34"/>
      <c r="AL94" s="35"/>
      <c r="AM94" s="35"/>
      <c r="AN94" s="37"/>
      <c r="AO94" s="34"/>
      <c r="AP94" s="35"/>
      <c r="AQ94" s="35"/>
      <c r="AR94" s="35"/>
      <c r="AS94" s="37"/>
      <c r="AT94" s="34"/>
      <c r="AU94" s="35"/>
      <c r="AV94" s="35"/>
      <c r="AW94" s="201" t="s">
        <v>464</v>
      </c>
      <c r="AX94" s="133" t="s">
        <v>465</v>
      </c>
      <c r="AY94" s="35"/>
      <c r="AZ94" s="35"/>
      <c r="BA94" s="37"/>
      <c r="BB94" s="133" t="s">
        <v>466</v>
      </c>
      <c r="BC94" s="117" t="s">
        <v>460</v>
      </c>
      <c r="BD94" s="35"/>
      <c r="BE94" s="35"/>
      <c r="BF94" s="37"/>
      <c r="BG94" s="34"/>
      <c r="BH94" s="35"/>
      <c r="BI94" s="35"/>
      <c r="BJ94" s="176"/>
      <c r="BK94" s="34"/>
      <c r="BL94" s="35"/>
      <c r="BM94" s="151" t="s">
        <v>584</v>
      </c>
      <c r="BN94" s="35"/>
      <c r="BO94" s="37"/>
      <c r="BP94" s="34"/>
      <c r="BQ94" s="35"/>
      <c r="BR94" s="35"/>
      <c r="BS94" s="176"/>
      <c r="BT94" s="34"/>
      <c r="BU94" s="35"/>
      <c r="BV94" s="35"/>
      <c r="BW94" s="208" t="s">
        <v>461</v>
      </c>
      <c r="BX94" s="34"/>
      <c r="BY94" s="35"/>
      <c r="BZ94" s="129"/>
      <c r="CA94" s="117" t="s">
        <v>462</v>
      </c>
      <c r="CB94" s="203"/>
      <c r="CC94" s="34"/>
      <c r="CD94" s="35"/>
      <c r="CE94" s="35"/>
      <c r="CF94" s="37"/>
      <c r="CG94" s="35"/>
      <c r="CH94" s="35"/>
      <c r="CI94" s="35"/>
      <c r="CJ94" s="176"/>
      <c r="CK94" s="34"/>
      <c r="CL94" s="35"/>
      <c r="CM94" s="35"/>
      <c r="CN94" s="35"/>
      <c r="CO94" s="37"/>
      <c r="CP94" s="34"/>
      <c r="CQ94" s="35"/>
      <c r="CR94" s="35"/>
      <c r="CS94" s="176"/>
      <c r="CT94" s="34"/>
      <c r="CU94" s="35"/>
      <c r="CV94" s="35"/>
      <c r="CW94" s="176"/>
      <c r="CX94" s="34"/>
      <c r="CY94" s="35"/>
      <c r="CZ94" s="35"/>
      <c r="DA94" s="35"/>
      <c r="DB94" s="37"/>
      <c r="DC94" s="34"/>
      <c r="DD94" s="35"/>
      <c r="DE94" s="35"/>
      <c r="DF94" s="176"/>
      <c r="DG94" s="34"/>
      <c r="DH94" s="35"/>
      <c r="DI94" s="35"/>
      <c r="DJ94" s="176"/>
      <c r="DK94" s="34"/>
      <c r="DL94" s="35"/>
      <c r="DM94" s="35"/>
      <c r="DN94" s="35"/>
      <c r="DO94" s="37"/>
      <c r="DP94" s="718"/>
    </row>
    <row r="95" spans="1:120" ht="12.75" hidden="1" customHeight="1" outlineLevel="1">
      <c r="A95" s="14"/>
      <c r="B95" s="396"/>
      <c r="C95" s="656"/>
      <c r="D95" s="657"/>
      <c r="E95" s="630"/>
      <c r="F95" s="45" t="s">
        <v>93</v>
      </c>
      <c r="G95" s="649"/>
      <c r="H95" s="483" t="s">
        <v>66</v>
      </c>
      <c r="I95" s="635"/>
      <c r="J95" s="642"/>
      <c r="K95" s="632"/>
      <c r="L95" s="630"/>
      <c r="M95" s="628"/>
      <c r="N95" s="628"/>
      <c r="O95" s="46"/>
      <c r="P95" s="47"/>
      <c r="Q95" s="47"/>
      <c r="R95" s="47"/>
      <c r="S95" s="47"/>
      <c r="T95" s="46"/>
      <c r="U95" s="47"/>
      <c r="V95" s="47"/>
      <c r="W95" s="48"/>
      <c r="X95" s="46"/>
      <c r="Y95" s="47"/>
      <c r="Z95" s="47"/>
      <c r="AA95" s="47"/>
      <c r="AB95" s="46"/>
      <c r="AC95" s="47"/>
      <c r="AD95" s="47"/>
      <c r="AE95" s="47"/>
      <c r="AF95" s="48"/>
      <c r="AG95" s="46"/>
      <c r="AH95" s="47"/>
      <c r="AI95" s="47"/>
      <c r="AJ95" s="177"/>
      <c r="AK95" s="46"/>
      <c r="AL95" s="47"/>
      <c r="AM95" s="47"/>
      <c r="AN95" s="48"/>
      <c r="AO95" s="46"/>
      <c r="AP95" s="47"/>
      <c r="AQ95" s="47"/>
      <c r="AR95" s="47"/>
      <c r="AS95" s="48"/>
      <c r="AT95" s="46"/>
      <c r="AU95" s="47"/>
      <c r="AV95" s="47"/>
      <c r="AW95" s="177"/>
      <c r="AX95" s="46"/>
      <c r="AY95" s="47"/>
      <c r="AZ95" s="47"/>
      <c r="BA95" s="48"/>
      <c r="BB95" s="46"/>
      <c r="BC95" s="47"/>
      <c r="BD95" s="47"/>
      <c r="BE95" s="47"/>
      <c r="BF95" s="48"/>
      <c r="BG95" s="46"/>
      <c r="BH95" s="47"/>
      <c r="BI95" s="47"/>
      <c r="BJ95" s="177"/>
      <c r="BK95" s="46"/>
      <c r="BL95" s="47"/>
      <c r="BM95" s="47"/>
      <c r="BN95" s="47"/>
      <c r="BO95" s="48"/>
      <c r="BP95" s="46"/>
      <c r="BQ95" s="47"/>
      <c r="BR95" s="47"/>
      <c r="BS95" s="177"/>
      <c r="BT95" s="46"/>
      <c r="BU95" s="47"/>
      <c r="BV95" s="47"/>
      <c r="BW95" s="177"/>
      <c r="BX95" s="46"/>
      <c r="BY95" s="47"/>
      <c r="BZ95" s="47"/>
      <c r="CA95" s="47"/>
      <c r="CB95" s="177"/>
      <c r="CC95" s="46"/>
      <c r="CD95" s="47"/>
      <c r="CE95" s="47"/>
      <c r="CF95" s="48"/>
      <c r="CG95" s="47"/>
      <c r="CH95" s="47"/>
      <c r="CI95" s="47"/>
      <c r="CJ95" s="177"/>
      <c r="CK95" s="46"/>
      <c r="CL95" s="47"/>
      <c r="CM95" s="47"/>
      <c r="CN95" s="47"/>
      <c r="CO95" s="48"/>
      <c r="CP95" s="46"/>
      <c r="CQ95" s="47"/>
      <c r="CR95" s="47"/>
      <c r="CS95" s="177"/>
      <c r="CT95" s="46"/>
      <c r="CU95" s="47"/>
      <c r="CV95" s="47"/>
      <c r="CW95" s="177"/>
      <c r="CX95" s="46"/>
      <c r="CY95" s="47"/>
      <c r="CZ95" s="47"/>
      <c r="DA95" s="47"/>
      <c r="DB95" s="48"/>
      <c r="DC95" s="46"/>
      <c r="DD95" s="47"/>
      <c r="DE95" s="47"/>
      <c r="DF95" s="177"/>
      <c r="DG95" s="46"/>
      <c r="DH95" s="47"/>
      <c r="DI95" s="47"/>
      <c r="DJ95" s="177"/>
      <c r="DK95" s="46"/>
      <c r="DL95" s="47"/>
      <c r="DM95" s="47"/>
      <c r="DN95" s="47"/>
      <c r="DO95" s="48"/>
      <c r="DP95" s="719"/>
    </row>
    <row r="96" spans="1:120" ht="12.75" hidden="1" customHeight="1" outlineLevel="1">
      <c r="A96" s="14"/>
      <c r="B96" s="396"/>
      <c r="C96" s="656"/>
      <c r="D96" s="657"/>
      <c r="E96" s="630"/>
      <c r="F96" s="225" t="s">
        <v>0</v>
      </c>
      <c r="G96" s="649" t="e">
        <f>#REF!</f>
        <v>#REF!</v>
      </c>
      <c r="H96" s="484" t="s">
        <v>129</v>
      </c>
      <c r="I96" s="635"/>
      <c r="J96" s="642"/>
      <c r="K96" s="632"/>
      <c r="L96" s="630"/>
      <c r="M96" s="628"/>
      <c r="N96" s="628"/>
      <c r="O96" s="174"/>
      <c r="P96" s="64"/>
      <c r="Q96" s="64"/>
      <c r="R96" s="64"/>
      <c r="S96" s="424"/>
      <c r="T96" s="174"/>
      <c r="U96" s="64"/>
      <c r="V96" s="64"/>
      <c r="W96" s="81"/>
      <c r="X96" s="174"/>
      <c r="Y96" s="64"/>
      <c r="Z96" s="64"/>
      <c r="AA96" s="64"/>
      <c r="AB96" s="174"/>
      <c r="AC96" s="64"/>
      <c r="AD96" s="64"/>
      <c r="AE96" s="64"/>
      <c r="AF96" s="81"/>
      <c r="AG96" s="174"/>
      <c r="AH96" s="64"/>
      <c r="AI96" s="64"/>
      <c r="AJ96" s="178"/>
      <c r="AK96" s="174"/>
      <c r="AL96" s="64"/>
      <c r="AM96" s="64"/>
      <c r="AN96" s="81"/>
      <c r="AO96" s="174"/>
      <c r="AP96" s="64"/>
      <c r="AQ96" s="64"/>
      <c r="AR96" s="64"/>
      <c r="AS96" s="81"/>
      <c r="AT96" s="174"/>
      <c r="AU96" s="64"/>
      <c r="AV96" s="64"/>
      <c r="AW96" s="178"/>
      <c r="AX96" s="174"/>
      <c r="AY96" s="64"/>
      <c r="AZ96" s="64"/>
      <c r="BA96" s="81"/>
      <c r="BB96" s="174"/>
      <c r="BC96" s="64"/>
      <c r="BD96" s="64"/>
      <c r="BE96" s="64"/>
      <c r="BF96" s="81"/>
      <c r="BG96" s="174"/>
      <c r="BH96" s="64"/>
      <c r="BI96" s="64"/>
      <c r="BJ96" s="178"/>
      <c r="BK96" s="174"/>
      <c r="BL96" s="64"/>
      <c r="BM96" s="64"/>
      <c r="BN96" s="64"/>
      <c r="BO96" s="81"/>
      <c r="BP96" s="174"/>
      <c r="BQ96" s="64"/>
      <c r="BR96" s="64"/>
      <c r="BS96" s="178"/>
      <c r="BT96" s="174"/>
      <c r="BU96" s="64"/>
      <c r="BV96" s="64"/>
      <c r="BW96" s="178"/>
      <c r="BX96" s="174"/>
      <c r="BY96" s="64"/>
      <c r="BZ96" s="64"/>
      <c r="CA96" s="64"/>
      <c r="CB96" s="178"/>
      <c r="CC96" s="174"/>
      <c r="CD96" s="64"/>
      <c r="CE96" s="64"/>
      <c r="CF96" s="81"/>
      <c r="CG96" s="65"/>
      <c r="CH96" s="64"/>
      <c r="CI96" s="64"/>
      <c r="CJ96" s="178"/>
      <c r="CK96" s="174"/>
      <c r="CL96" s="64"/>
      <c r="CM96" s="64"/>
      <c r="CN96" s="64"/>
      <c r="CO96" s="81"/>
      <c r="CP96" s="174"/>
      <c r="CQ96" s="64"/>
      <c r="CR96" s="64"/>
      <c r="CS96" s="178"/>
      <c r="CT96" s="174"/>
      <c r="CU96" s="64"/>
      <c r="CV96" s="64"/>
      <c r="CW96" s="178"/>
      <c r="CX96" s="174"/>
      <c r="CY96" s="64"/>
      <c r="CZ96" s="64"/>
      <c r="DA96" s="64"/>
      <c r="DB96" s="81"/>
      <c r="DC96" s="174"/>
      <c r="DD96" s="64"/>
      <c r="DE96" s="64"/>
      <c r="DF96" s="178"/>
      <c r="DG96" s="174"/>
      <c r="DH96" s="64"/>
      <c r="DI96" s="64"/>
      <c r="DJ96" s="178"/>
      <c r="DK96" s="174"/>
      <c r="DL96" s="64"/>
      <c r="DM96" s="64"/>
      <c r="DN96" s="64"/>
      <c r="DO96" s="81"/>
      <c r="DP96" s="241"/>
    </row>
    <row r="97" spans="1:120" ht="12.75" hidden="1" customHeight="1" outlineLevel="1">
      <c r="A97" s="14"/>
      <c r="B97" s="396"/>
      <c r="C97" s="656"/>
      <c r="D97" s="657"/>
      <c r="E97" s="630"/>
      <c r="F97" s="225" t="s">
        <v>1</v>
      </c>
      <c r="G97" s="649"/>
      <c r="H97" s="484" t="s">
        <v>130</v>
      </c>
      <c r="I97" s="635"/>
      <c r="J97" s="642"/>
      <c r="K97" s="632"/>
      <c r="L97" s="630"/>
      <c r="M97" s="629"/>
      <c r="N97" s="628"/>
      <c r="O97" s="60"/>
      <c r="P97" s="64"/>
      <c r="Q97" s="64"/>
      <c r="R97" s="64"/>
      <c r="S97" s="424"/>
      <c r="T97" s="60"/>
      <c r="U97" s="64"/>
      <c r="V97" s="64"/>
      <c r="W97" s="81"/>
      <c r="X97" s="60"/>
      <c r="Y97" s="64"/>
      <c r="Z97" s="64"/>
      <c r="AA97" s="64"/>
      <c r="AB97" s="60"/>
      <c r="AC97" s="64"/>
      <c r="AD97" s="64"/>
      <c r="AE97" s="64"/>
      <c r="AF97" s="81"/>
      <c r="AG97" s="60"/>
      <c r="AH97" s="64"/>
      <c r="AI97" s="64"/>
      <c r="AJ97" s="178"/>
      <c r="AK97" s="60"/>
      <c r="AL97" s="64"/>
      <c r="AM97" s="64"/>
      <c r="AN97" s="81"/>
      <c r="AO97" s="60"/>
      <c r="AP97" s="64"/>
      <c r="AQ97" s="64"/>
      <c r="AR97" s="64"/>
      <c r="AS97" s="81"/>
      <c r="AT97" s="60"/>
      <c r="AU97" s="64"/>
      <c r="AV97" s="64"/>
      <c r="AW97" s="178"/>
      <c r="AX97" s="60"/>
      <c r="AY97" s="64"/>
      <c r="AZ97" s="64"/>
      <c r="BA97" s="81"/>
      <c r="BB97" s="60"/>
      <c r="BC97" s="64"/>
      <c r="BD97" s="64"/>
      <c r="BE97" s="64"/>
      <c r="BF97" s="81"/>
      <c r="BG97" s="60"/>
      <c r="BH97" s="64"/>
      <c r="BI97" s="64"/>
      <c r="BJ97" s="178"/>
      <c r="BK97" s="60"/>
      <c r="BL97" s="64"/>
      <c r="BM97" s="64"/>
      <c r="BN97" s="64"/>
      <c r="BO97" s="81"/>
      <c r="BP97" s="60"/>
      <c r="BQ97" s="64"/>
      <c r="BR97" s="64"/>
      <c r="BS97" s="178"/>
      <c r="BT97" s="60"/>
      <c r="BU97" s="64"/>
      <c r="BV97" s="64"/>
      <c r="BW97" s="178"/>
      <c r="BX97" s="60"/>
      <c r="BY97" s="64"/>
      <c r="BZ97" s="64"/>
      <c r="CA97" s="64"/>
      <c r="CB97" s="178"/>
      <c r="CC97" s="60"/>
      <c r="CD97" s="64"/>
      <c r="CE97" s="64"/>
      <c r="CF97" s="81"/>
      <c r="CG97" s="59"/>
      <c r="CH97" s="64"/>
      <c r="CI97" s="64"/>
      <c r="CJ97" s="178"/>
      <c r="CK97" s="60"/>
      <c r="CL97" s="64"/>
      <c r="CM97" s="64"/>
      <c r="CN97" s="64"/>
      <c r="CO97" s="81"/>
      <c r="CP97" s="60"/>
      <c r="CQ97" s="64"/>
      <c r="CR97" s="64"/>
      <c r="CS97" s="178"/>
      <c r="CT97" s="60"/>
      <c r="CU97" s="64"/>
      <c r="CV97" s="64"/>
      <c r="CW97" s="178"/>
      <c r="CX97" s="60"/>
      <c r="CY97" s="64"/>
      <c r="CZ97" s="64"/>
      <c r="DA97" s="64"/>
      <c r="DB97" s="81"/>
      <c r="DC97" s="60"/>
      <c r="DD97" s="64"/>
      <c r="DE97" s="64"/>
      <c r="DF97" s="178"/>
      <c r="DG97" s="60"/>
      <c r="DH97" s="64"/>
      <c r="DI97" s="64"/>
      <c r="DJ97" s="178"/>
      <c r="DK97" s="60"/>
      <c r="DL97" s="64"/>
      <c r="DM97" s="64"/>
      <c r="DN97" s="64"/>
      <c r="DO97" s="81"/>
      <c r="DP97" s="16"/>
    </row>
    <row r="98" spans="1:120" ht="12.75" hidden="1" customHeight="1" outlineLevel="1">
      <c r="A98" s="14"/>
      <c r="B98" s="396"/>
      <c r="C98" s="656"/>
      <c r="D98" s="657"/>
      <c r="E98" s="630"/>
      <c r="F98" s="225" t="s">
        <v>1</v>
      </c>
      <c r="G98" s="496"/>
      <c r="H98" s="484" t="s">
        <v>157</v>
      </c>
      <c r="I98" s="637"/>
      <c r="J98" s="643"/>
      <c r="K98" s="640"/>
      <c r="L98" s="638"/>
      <c r="M98" s="629"/>
      <c r="N98" s="628"/>
      <c r="O98" s="62"/>
      <c r="P98" s="61"/>
      <c r="Q98" s="61"/>
      <c r="R98" s="61"/>
      <c r="S98" s="424"/>
      <c r="T98" s="62"/>
      <c r="U98" s="61"/>
      <c r="V98" s="61"/>
      <c r="W98" s="63"/>
      <c r="X98" s="62"/>
      <c r="Y98" s="61"/>
      <c r="Z98" s="61"/>
      <c r="AA98" s="61"/>
      <c r="AB98" s="62"/>
      <c r="AC98" s="61"/>
      <c r="AD98" s="61"/>
      <c r="AE98" s="61"/>
      <c r="AF98" s="63"/>
      <c r="AG98" s="62"/>
      <c r="AH98" s="61"/>
      <c r="AI98" s="61"/>
      <c r="AJ98" s="179"/>
      <c r="AK98" s="62"/>
      <c r="AL98" s="61"/>
      <c r="AM98" s="61"/>
      <c r="AN98" s="63"/>
      <c r="AO98" s="62"/>
      <c r="AP98" s="61"/>
      <c r="AQ98" s="61"/>
      <c r="AR98" s="61"/>
      <c r="AS98" s="63"/>
      <c r="AT98" s="62"/>
      <c r="AU98" s="61"/>
      <c r="AV98" s="61"/>
      <c r="AW98" s="179"/>
      <c r="AX98" s="62"/>
      <c r="AY98" s="61"/>
      <c r="AZ98" s="61"/>
      <c r="BA98" s="63"/>
      <c r="BB98" s="62"/>
      <c r="BC98" s="61"/>
      <c r="BD98" s="61"/>
      <c r="BE98" s="61"/>
      <c r="BF98" s="63"/>
      <c r="BG98" s="62"/>
      <c r="BH98" s="61"/>
      <c r="BI98" s="61"/>
      <c r="BJ98" s="179"/>
      <c r="BK98" s="62"/>
      <c r="BL98" s="61"/>
      <c r="BM98" s="61"/>
      <c r="BN98" s="61"/>
      <c r="BO98" s="63"/>
      <c r="BP98" s="62"/>
      <c r="BQ98" s="61"/>
      <c r="BR98" s="61"/>
      <c r="BS98" s="179"/>
      <c r="BT98" s="62"/>
      <c r="BU98" s="61"/>
      <c r="BV98" s="61"/>
      <c r="BW98" s="179"/>
      <c r="BX98" s="62"/>
      <c r="BY98" s="61"/>
      <c r="BZ98" s="61"/>
      <c r="CA98" s="61"/>
      <c r="CB98" s="178"/>
      <c r="CC98" s="62"/>
      <c r="CD98" s="61"/>
      <c r="CE98" s="61"/>
      <c r="CF98" s="63"/>
      <c r="CG98" s="64"/>
      <c r="CH98" s="61"/>
      <c r="CI98" s="61"/>
      <c r="CJ98" s="179"/>
      <c r="CK98" s="62"/>
      <c r="CL98" s="61"/>
      <c r="CM98" s="61"/>
      <c r="CN98" s="61"/>
      <c r="CO98" s="63"/>
      <c r="CP98" s="62"/>
      <c r="CQ98" s="61"/>
      <c r="CR98" s="61"/>
      <c r="CS98" s="179"/>
      <c r="CT98" s="62"/>
      <c r="CU98" s="61"/>
      <c r="CV98" s="61"/>
      <c r="CW98" s="179"/>
      <c r="CX98" s="62"/>
      <c r="CY98" s="61"/>
      <c r="CZ98" s="61"/>
      <c r="DA98" s="61"/>
      <c r="DB98" s="63"/>
      <c r="DC98" s="62"/>
      <c r="DD98" s="61"/>
      <c r="DE98" s="61"/>
      <c r="DF98" s="179"/>
      <c r="DG98" s="62"/>
      <c r="DH98" s="61"/>
      <c r="DI98" s="61"/>
      <c r="DJ98" s="179"/>
      <c r="DK98" s="62"/>
      <c r="DL98" s="61"/>
      <c r="DM98" s="61"/>
      <c r="DN98" s="61"/>
      <c r="DO98" s="63"/>
      <c r="DP98" s="491" t="s">
        <v>179</v>
      </c>
    </row>
    <row r="99" spans="1:120" ht="12.75" hidden="1" customHeight="1" outlineLevel="1" thickBot="1">
      <c r="A99" s="14"/>
      <c r="B99" s="396"/>
      <c r="C99" s="658"/>
      <c r="D99" s="659"/>
      <c r="E99" s="687"/>
      <c r="F99" s="359" t="s">
        <v>1</v>
      </c>
      <c r="G99" s="497"/>
      <c r="H99" s="489" t="s">
        <v>39</v>
      </c>
      <c r="I99" s="101"/>
      <c r="J99" s="102"/>
      <c r="K99" s="103">
        <v>6955000</v>
      </c>
      <c r="L99" s="128">
        <v>6508004</v>
      </c>
      <c r="M99" s="462"/>
      <c r="N99" s="462"/>
      <c r="O99" s="38"/>
      <c r="P99" s="40"/>
      <c r="Q99" s="39"/>
      <c r="R99" s="39"/>
      <c r="S99" s="492" t="s">
        <v>236</v>
      </c>
      <c r="T99" s="38"/>
      <c r="U99" s="40"/>
      <c r="V99" s="39"/>
      <c r="W99" s="41"/>
      <c r="X99" s="38"/>
      <c r="Y99" s="40"/>
      <c r="Z99" s="39"/>
      <c r="AA99" s="39"/>
      <c r="AB99" s="38"/>
      <c r="AC99" s="40"/>
      <c r="AD99" s="39"/>
      <c r="AE99" s="39"/>
      <c r="AF99" s="41"/>
      <c r="AG99" s="38"/>
      <c r="AH99" s="299" t="s">
        <v>348</v>
      </c>
      <c r="AI99" s="39"/>
      <c r="AJ99" s="184"/>
      <c r="AK99" s="38"/>
      <c r="AL99" s="407" t="s">
        <v>348</v>
      </c>
      <c r="AM99" s="407"/>
      <c r="AN99" s="41"/>
      <c r="AO99" s="525" t="s">
        <v>441</v>
      </c>
      <c r="AP99" s="407" t="s">
        <v>348</v>
      </c>
      <c r="AQ99" s="407"/>
      <c r="AR99" s="39"/>
      <c r="AS99" s="41"/>
      <c r="AT99" s="38"/>
      <c r="AU99" s="407" t="s">
        <v>348</v>
      </c>
      <c r="AV99" s="39"/>
      <c r="AW99" s="184"/>
      <c r="AX99" s="38"/>
      <c r="AY99" s="407" t="s">
        <v>348</v>
      </c>
      <c r="AZ99" s="39"/>
      <c r="BA99" s="41"/>
      <c r="BB99" s="38"/>
      <c r="BC99" s="40"/>
      <c r="BD99" s="39"/>
      <c r="BE99" s="39"/>
      <c r="BF99" s="41"/>
      <c r="BG99" s="38"/>
      <c r="BH99" s="40"/>
      <c r="BI99" s="39"/>
      <c r="BJ99" s="184"/>
      <c r="BK99" s="38"/>
      <c r="BL99" s="40"/>
      <c r="BM99" s="39"/>
      <c r="BN99" s="39"/>
      <c r="BO99" s="563" t="s">
        <v>515</v>
      </c>
      <c r="BP99" s="38"/>
      <c r="BQ99" s="40"/>
      <c r="BR99" s="39"/>
      <c r="BS99" s="563" t="s">
        <v>515</v>
      </c>
      <c r="BT99" s="38"/>
      <c r="BU99" s="40"/>
      <c r="BV99" s="39"/>
      <c r="BW99" s="563" t="s">
        <v>515</v>
      </c>
      <c r="BX99" s="38"/>
      <c r="BY99" s="40"/>
      <c r="BZ99" s="39"/>
      <c r="CA99" s="184"/>
      <c r="CB99" s="614" t="s">
        <v>515</v>
      </c>
      <c r="CC99" s="38"/>
      <c r="CD99" s="40"/>
      <c r="CE99" s="39"/>
      <c r="CF99" s="41"/>
      <c r="CG99" s="39"/>
      <c r="CH99" s="40"/>
      <c r="CI99" s="39"/>
      <c r="CJ99" s="184"/>
      <c r="CK99" s="38"/>
      <c r="CL99" s="40"/>
      <c r="CM99" s="39"/>
      <c r="CN99" s="39"/>
      <c r="CO99" s="41"/>
      <c r="CP99" s="38"/>
      <c r="CQ99" s="40"/>
      <c r="CR99" s="39"/>
      <c r="CS99" s="184"/>
      <c r="CT99" s="38"/>
      <c r="CU99" s="40"/>
      <c r="CV99" s="39"/>
      <c r="CW99" s="184"/>
      <c r="CX99" s="38"/>
      <c r="CY99" s="40"/>
      <c r="CZ99" s="39"/>
      <c r="DA99" s="39"/>
      <c r="DB99" s="41"/>
      <c r="DC99" s="38"/>
      <c r="DD99" s="40"/>
      <c r="DE99" s="39"/>
      <c r="DF99" s="184"/>
      <c r="DG99" s="38"/>
      <c r="DH99" s="40"/>
      <c r="DI99" s="39"/>
      <c r="DJ99" s="184"/>
      <c r="DK99" s="38"/>
      <c r="DL99" s="40"/>
      <c r="DM99" s="39"/>
      <c r="DN99" s="39"/>
      <c r="DO99" s="41"/>
      <c r="DP99" s="423" t="s">
        <v>276</v>
      </c>
    </row>
    <row r="100" spans="1:120" ht="12.75" customHeight="1" thickBot="1">
      <c r="A100" s="14"/>
      <c r="B100" s="396"/>
      <c r="C100" s="76"/>
      <c r="D100" s="82"/>
      <c r="E100" s="1"/>
      <c r="F100" s="82"/>
      <c r="G100" s="82"/>
      <c r="H100" s="79"/>
      <c r="I100" s="82"/>
      <c r="J100" s="82"/>
      <c r="K100" s="82"/>
      <c r="L100" s="82"/>
      <c r="M100" s="460"/>
      <c r="N100" s="460"/>
      <c r="O100" s="66"/>
      <c r="P100" s="66"/>
      <c r="Q100" s="66"/>
      <c r="R100" s="66"/>
      <c r="S100" s="68"/>
      <c r="T100" s="66"/>
      <c r="U100" s="66"/>
      <c r="V100" s="66"/>
      <c r="W100" s="68"/>
      <c r="X100" s="67"/>
      <c r="Y100" s="66"/>
      <c r="Z100" s="66"/>
      <c r="AA100" s="66"/>
      <c r="AB100" s="67"/>
      <c r="AC100" s="66"/>
      <c r="AD100" s="66"/>
      <c r="AE100" s="66"/>
      <c r="AF100" s="66"/>
      <c r="AG100" s="66"/>
      <c r="AH100" s="66"/>
      <c r="AI100" s="66"/>
      <c r="AJ100" s="66"/>
      <c r="AK100" s="66"/>
      <c r="AL100" s="66"/>
      <c r="AM100" s="66"/>
      <c r="AN100" s="68"/>
      <c r="AO100" s="67"/>
      <c r="AP100" s="66"/>
      <c r="AQ100" s="66"/>
      <c r="AR100" s="66"/>
      <c r="AS100" s="66"/>
      <c r="AT100" s="66"/>
      <c r="AU100" s="66"/>
      <c r="AV100" s="66"/>
      <c r="AW100" s="66"/>
      <c r="AX100" s="66"/>
      <c r="AY100" s="66"/>
      <c r="AZ100" s="66"/>
      <c r="BA100" s="66"/>
      <c r="BB100" s="66"/>
      <c r="BC100" s="66"/>
      <c r="BD100" s="66"/>
      <c r="BE100" s="66"/>
      <c r="BF100" s="66"/>
      <c r="BG100" s="67"/>
      <c r="BH100" s="66"/>
      <c r="BI100" s="66"/>
      <c r="BJ100" s="66"/>
      <c r="BK100" s="66"/>
      <c r="BL100" s="66"/>
      <c r="BM100" s="66"/>
      <c r="BN100" s="66"/>
      <c r="BO100" s="66"/>
      <c r="BP100" s="67"/>
      <c r="BQ100" s="66"/>
      <c r="BR100" s="66"/>
      <c r="BS100" s="66"/>
      <c r="BT100" s="66"/>
      <c r="BU100" s="66"/>
      <c r="BV100" s="66"/>
      <c r="BW100" s="66"/>
      <c r="BX100" s="66"/>
      <c r="BY100" s="66"/>
      <c r="BZ100" s="66"/>
      <c r="CA100" s="66"/>
      <c r="CB100" s="66"/>
      <c r="CC100" s="67"/>
      <c r="CD100" s="66"/>
      <c r="CE100" s="66"/>
      <c r="CF100" s="68"/>
      <c r="CG100" s="66"/>
      <c r="CH100" s="66"/>
      <c r="CI100" s="66"/>
      <c r="CJ100" s="66"/>
      <c r="CK100" s="67"/>
      <c r="CL100" s="66"/>
      <c r="CM100" s="66"/>
      <c r="CN100" s="66"/>
      <c r="CO100" s="66"/>
      <c r="CP100" s="67"/>
      <c r="CQ100" s="66"/>
      <c r="CR100" s="66"/>
      <c r="CS100" s="66"/>
      <c r="CT100" s="67"/>
      <c r="CU100" s="66"/>
      <c r="CV100" s="66"/>
      <c r="CW100" s="66"/>
      <c r="CX100" s="67"/>
      <c r="CY100" s="66"/>
      <c r="CZ100" s="66"/>
      <c r="DA100" s="66"/>
      <c r="DB100" s="68"/>
      <c r="DC100" s="67"/>
      <c r="DD100" s="66"/>
      <c r="DE100" s="66"/>
      <c r="DF100" s="66"/>
      <c r="DG100" s="67"/>
      <c r="DH100" s="66"/>
      <c r="DI100" s="66"/>
      <c r="DJ100" s="66"/>
      <c r="DK100" s="67"/>
      <c r="DL100" s="66"/>
      <c r="DM100" s="66"/>
      <c r="DN100" s="66"/>
      <c r="DO100" s="68"/>
      <c r="DP100" s="16"/>
    </row>
    <row r="101" spans="1:120" ht="12.75" customHeight="1" collapsed="1">
      <c r="A101" s="14"/>
      <c r="B101" s="396"/>
      <c r="C101" s="672" t="s">
        <v>597</v>
      </c>
      <c r="D101" s="691"/>
      <c r="E101" s="664" t="s">
        <v>222</v>
      </c>
      <c r="F101" s="481" t="s">
        <v>98</v>
      </c>
      <c r="G101" s="652" t="s">
        <v>240</v>
      </c>
      <c r="H101" s="380" t="s">
        <v>1</v>
      </c>
      <c r="I101" s="636">
        <f>I108</f>
        <v>0</v>
      </c>
      <c r="J101" s="641">
        <f>J108</f>
        <v>0</v>
      </c>
      <c r="K101" s="631">
        <f>K108</f>
        <v>0</v>
      </c>
      <c r="L101" s="639" t="s">
        <v>41</v>
      </c>
      <c r="M101" s="720"/>
      <c r="N101" s="724"/>
      <c r="O101" s="23"/>
      <c r="P101" s="25"/>
      <c r="Q101" s="25"/>
      <c r="R101" s="183"/>
      <c r="S101" s="27"/>
      <c r="T101" s="25"/>
      <c r="U101" s="25"/>
      <c r="V101" s="24"/>
      <c r="W101" s="26"/>
      <c r="X101" s="23"/>
      <c r="Y101" s="25"/>
      <c r="Z101" s="25"/>
      <c r="AA101" s="26"/>
      <c r="AB101" s="23"/>
      <c r="AC101" s="25"/>
      <c r="AD101" s="11" t="s">
        <v>28</v>
      </c>
      <c r="AE101" s="186" t="s">
        <v>27</v>
      </c>
      <c r="AF101" s="160"/>
      <c r="AG101" s="23"/>
      <c r="AH101" s="24"/>
      <c r="AI101" s="24"/>
      <c r="AJ101" s="26" t="s">
        <v>351</v>
      </c>
      <c r="AK101" s="25"/>
      <c r="AL101" s="25"/>
      <c r="AM101" s="25"/>
      <c r="AN101" s="26"/>
      <c r="AO101" s="23"/>
      <c r="AP101" s="25"/>
      <c r="AQ101" s="25"/>
      <c r="AR101" s="25"/>
      <c r="AS101" s="25"/>
      <c r="AT101" s="23"/>
      <c r="AU101" s="24"/>
      <c r="AV101" s="24"/>
      <c r="AW101" s="26"/>
      <c r="AX101" s="23"/>
      <c r="AY101" s="25"/>
      <c r="AZ101" s="25"/>
      <c r="BA101" s="24"/>
      <c r="BB101" s="23"/>
      <c r="BC101" s="24"/>
      <c r="BD101" s="24"/>
      <c r="BE101" s="24"/>
      <c r="BF101" s="24"/>
      <c r="BG101" s="23"/>
      <c r="BH101" s="24"/>
      <c r="BI101" s="58"/>
      <c r="BJ101" s="26"/>
      <c r="BK101" s="58"/>
      <c r="BL101" s="25"/>
      <c r="BM101" s="24"/>
      <c r="BN101" s="183"/>
      <c r="BO101" s="27"/>
      <c r="BP101" s="23"/>
      <c r="BQ101" s="24"/>
      <c r="BR101" s="58"/>
      <c r="BS101" s="26"/>
      <c r="BT101" s="23"/>
      <c r="BU101" s="24"/>
      <c r="BV101" s="58"/>
      <c r="BW101" s="26"/>
      <c r="BX101" s="23"/>
      <c r="BY101" s="25"/>
      <c r="BZ101" s="24"/>
      <c r="CA101" s="25"/>
      <c r="CB101" s="183"/>
      <c r="CC101" s="23"/>
      <c r="CD101" s="24"/>
      <c r="CE101" s="58"/>
      <c r="CF101" s="26"/>
      <c r="CG101" s="25"/>
      <c r="CH101" s="24"/>
      <c r="CI101" s="58"/>
      <c r="CJ101" s="26"/>
      <c r="CK101" s="23"/>
      <c r="CL101" s="25"/>
      <c r="CM101" s="24"/>
      <c r="CN101" s="183"/>
      <c r="CO101" s="27"/>
      <c r="CP101" s="23"/>
      <c r="CQ101" s="24"/>
      <c r="CR101" s="58"/>
      <c r="CS101" s="26"/>
      <c r="CT101" s="23"/>
      <c r="CU101" s="24"/>
      <c r="CV101" s="58"/>
      <c r="CW101" s="26"/>
      <c r="CX101" s="23"/>
      <c r="CY101" s="25"/>
      <c r="CZ101" s="24"/>
      <c r="DA101" s="183"/>
      <c r="DB101" s="27"/>
      <c r="DC101" s="23"/>
      <c r="DD101" s="24"/>
      <c r="DE101" s="58"/>
      <c r="DF101" s="26"/>
      <c r="DG101" s="23"/>
      <c r="DH101" s="24"/>
      <c r="DI101" s="58"/>
      <c r="DJ101" s="26"/>
      <c r="DK101" s="23"/>
      <c r="DL101" s="25"/>
      <c r="DM101" s="24"/>
      <c r="DN101" s="183"/>
      <c r="DO101" s="27"/>
      <c r="DP101" s="729" t="s">
        <v>205</v>
      </c>
    </row>
    <row r="102" spans="1:120" ht="12.75" hidden="1" customHeight="1" outlineLevel="1">
      <c r="A102" s="14"/>
      <c r="B102" s="396"/>
      <c r="C102" s="656"/>
      <c r="D102" s="657"/>
      <c r="E102" s="665"/>
      <c r="F102" s="42" t="s">
        <v>185</v>
      </c>
      <c r="G102" s="649"/>
      <c r="H102" s="482" t="s">
        <v>31</v>
      </c>
      <c r="I102" s="635"/>
      <c r="J102" s="642"/>
      <c r="K102" s="632"/>
      <c r="L102" s="630"/>
      <c r="M102" s="628"/>
      <c r="N102" s="628"/>
      <c r="O102" s="34"/>
      <c r="P102" s="129"/>
      <c r="Q102" s="129"/>
      <c r="R102" s="129"/>
      <c r="S102" s="142"/>
      <c r="T102" s="35"/>
      <c r="U102" s="129"/>
      <c r="V102" s="35"/>
      <c r="W102" s="189"/>
      <c r="X102" s="134"/>
      <c r="Y102" s="35"/>
      <c r="Z102" s="35"/>
      <c r="AA102" s="37"/>
      <c r="AB102" s="34"/>
      <c r="AC102" s="129"/>
      <c r="AD102" s="140" t="s">
        <v>199</v>
      </c>
      <c r="AE102" s="131" t="s">
        <v>352</v>
      </c>
      <c r="AF102" s="203" t="s">
        <v>356</v>
      </c>
      <c r="AG102" s="134" t="s">
        <v>340</v>
      </c>
      <c r="AH102" s="140" t="s">
        <v>357</v>
      </c>
      <c r="AI102" s="289" t="s">
        <v>43</v>
      </c>
      <c r="AJ102" s="37" t="s">
        <v>34</v>
      </c>
      <c r="AK102" s="129" t="s">
        <v>111</v>
      </c>
      <c r="AL102" s="140" t="s">
        <v>369</v>
      </c>
      <c r="AM102" s="129" t="s">
        <v>206</v>
      </c>
      <c r="AN102" s="37"/>
      <c r="AO102" s="34"/>
      <c r="AP102" s="129"/>
      <c r="AQ102" s="129"/>
      <c r="AR102" s="129"/>
      <c r="AS102" s="37"/>
      <c r="AT102" s="34"/>
      <c r="AU102" s="35"/>
      <c r="AV102" s="129"/>
      <c r="AW102" s="35" t="s">
        <v>36</v>
      </c>
      <c r="AX102" s="35" t="s">
        <v>102</v>
      </c>
      <c r="AY102" s="129"/>
      <c r="AZ102" s="35"/>
      <c r="BA102" s="129" t="s">
        <v>233</v>
      </c>
      <c r="BB102" s="34"/>
      <c r="BC102" s="35"/>
      <c r="BD102" s="129"/>
      <c r="BE102" s="129"/>
      <c r="BF102" s="324"/>
      <c r="BG102" s="129" t="s">
        <v>117</v>
      </c>
      <c r="BH102" s="162" t="s">
        <v>203</v>
      </c>
      <c r="BI102" s="162" t="s">
        <v>110</v>
      </c>
      <c r="BJ102" s="37"/>
      <c r="BK102" s="176" t="s">
        <v>138</v>
      </c>
      <c r="BL102" s="129" t="s">
        <v>247</v>
      </c>
      <c r="BM102" s="129" t="s">
        <v>118</v>
      </c>
      <c r="BN102" s="129" t="s">
        <v>197</v>
      </c>
      <c r="BO102" s="142"/>
      <c r="BP102" s="134"/>
      <c r="BQ102" s="162"/>
      <c r="BR102" s="176"/>
      <c r="BS102" s="37"/>
      <c r="BT102" s="134"/>
      <c r="BU102" s="162"/>
      <c r="BV102" s="176"/>
      <c r="BW102" s="37"/>
      <c r="BX102" s="134"/>
      <c r="BY102" s="129"/>
      <c r="BZ102" s="129"/>
      <c r="CA102" s="129"/>
      <c r="CB102" s="203"/>
      <c r="CC102" s="134"/>
      <c r="CD102" s="162"/>
      <c r="CE102" s="176"/>
      <c r="CF102" s="37"/>
      <c r="CG102" s="129"/>
      <c r="CH102" s="162"/>
      <c r="CI102" s="176"/>
      <c r="CJ102" s="37"/>
      <c r="CK102" s="134"/>
      <c r="CL102" s="129"/>
      <c r="CM102" s="129"/>
      <c r="CN102" s="129"/>
      <c r="CO102" s="142"/>
      <c r="CP102" s="134"/>
      <c r="CQ102" s="162"/>
      <c r="CR102" s="176"/>
      <c r="CS102" s="37"/>
      <c r="CT102" s="134"/>
      <c r="CU102" s="162"/>
      <c r="CV102" s="176"/>
      <c r="CW102" s="37"/>
      <c r="CX102" s="134"/>
      <c r="CY102" s="129"/>
      <c r="CZ102" s="129"/>
      <c r="DA102" s="129"/>
      <c r="DB102" s="142"/>
      <c r="DC102" s="134"/>
      <c r="DD102" s="162"/>
      <c r="DE102" s="176"/>
      <c r="DF102" s="37"/>
      <c r="DG102" s="134"/>
      <c r="DH102" s="162"/>
      <c r="DI102" s="176"/>
      <c r="DJ102" s="37"/>
      <c r="DK102" s="134"/>
      <c r="DL102" s="129"/>
      <c r="DM102" s="129"/>
      <c r="DN102" s="129"/>
      <c r="DO102" s="142"/>
      <c r="DP102" s="718"/>
    </row>
    <row r="103" spans="1:120" ht="12.75" hidden="1" customHeight="1" outlineLevel="1">
      <c r="A103" s="14"/>
      <c r="B103" s="396"/>
      <c r="C103" s="656"/>
      <c r="D103" s="657"/>
      <c r="E103" s="665"/>
      <c r="F103" s="357" t="s">
        <v>396</v>
      </c>
      <c r="G103" s="649"/>
      <c r="H103" s="483" t="s">
        <v>66</v>
      </c>
      <c r="I103" s="635"/>
      <c r="J103" s="642"/>
      <c r="K103" s="632"/>
      <c r="L103" s="630"/>
      <c r="M103" s="628"/>
      <c r="N103" s="628"/>
      <c r="O103" s="46"/>
      <c r="P103" s="47"/>
      <c r="Q103" s="47"/>
      <c r="R103" s="177"/>
      <c r="S103" s="190"/>
      <c r="T103" s="47"/>
      <c r="U103" s="47"/>
      <c r="V103" s="47"/>
      <c r="W103" s="190"/>
      <c r="X103" s="46"/>
      <c r="Y103" s="47"/>
      <c r="Z103" s="47"/>
      <c r="AA103" s="167"/>
      <c r="AB103" s="149" t="s">
        <v>310</v>
      </c>
      <c r="AC103" s="140" t="s">
        <v>316</v>
      </c>
      <c r="AD103" s="140" t="s">
        <v>370</v>
      </c>
      <c r="AE103" s="32" t="s">
        <v>193</v>
      </c>
      <c r="AF103" s="177" t="s">
        <v>194</v>
      </c>
      <c r="AG103" s="46"/>
      <c r="AH103" s="47" t="s">
        <v>131</v>
      </c>
      <c r="AI103" s="47"/>
      <c r="AJ103" s="48" t="s">
        <v>65</v>
      </c>
      <c r="AK103" s="47"/>
      <c r="AL103" s="47"/>
      <c r="AM103" s="47"/>
      <c r="AN103" s="48"/>
      <c r="AO103" s="46" t="s">
        <v>192</v>
      </c>
      <c r="AP103" s="47"/>
      <c r="AQ103" s="47"/>
      <c r="AR103" s="47" t="s">
        <v>73</v>
      </c>
      <c r="AS103" s="138" t="s">
        <v>190</v>
      </c>
      <c r="AT103" s="138" t="s">
        <v>161</v>
      </c>
      <c r="AU103" s="138"/>
      <c r="AV103" s="321"/>
      <c r="AW103" s="190" t="s">
        <v>52</v>
      </c>
      <c r="AX103" s="46"/>
      <c r="AY103" s="47"/>
      <c r="AZ103" s="138"/>
      <c r="BA103" s="48"/>
      <c r="BB103" s="135" t="s">
        <v>96</v>
      </c>
      <c r="BC103" s="138"/>
      <c r="BD103" s="138"/>
      <c r="BE103" s="138" t="s">
        <v>122</v>
      </c>
      <c r="BF103" s="138" t="s">
        <v>187</v>
      </c>
      <c r="BG103" s="46"/>
      <c r="BH103" s="138"/>
      <c r="BI103" s="138" t="s">
        <v>119</v>
      </c>
      <c r="BJ103" s="48"/>
      <c r="BK103" s="46"/>
      <c r="BL103" s="47"/>
      <c r="BM103" s="47"/>
      <c r="BN103" s="177"/>
      <c r="BO103" s="48"/>
      <c r="BP103" s="46"/>
      <c r="BQ103" s="138"/>
      <c r="BR103" s="47"/>
      <c r="BS103" s="48"/>
      <c r="BT103" s="46"/>
      <c r="BU103" s="138"/>
      <c r="BV103" s="47"/>
      <c r="BW103" s="48"/>
      <c r="BX103" s="46"/>
      <c r="BY103" s="47"/>
      <c r="BZ103" s="47"/>
      <c r="CA103" s="47"/>
      <c r="CB103" s="177"/>
      <c r="CC103" s="46"/>
      <c r="CD103" s="138"/>
      <c r="CE103" s="47"/>
      <c r="CF103" s="48"/>
      <c r="CG103" s="47"/>
      <c r="CH103" s="138"/>
      <c r="CI103" s="47"/>
      <c r="CJ103" s="48"/>
      <c r="CK103" s="46"/>
      <c r="CL103" s="47"/>
      <c r="CM103" s="47"/>
      <c r="CN103" s="177"/>
      <c r="CO103" s="48"/>
      <c r="CP103" s="46"/>
      <c r="CQ103" s="138"/>
      <c r="CR103" s="47"/>
      <c r="CS103" s="48"/>
      <c r="CT103" s="46"/>
      <c r="CU103" s="138"/>
      <c r="CV103" s="47"/>
      <c r="CW103" s="48"/>
      <c r="CX103" s="46"/>
      <c r="CY103" s="47"/>
      <c r="CZ103" s="47"/>
      <c r="DA103" s="177"/>
      <c r="DB103" s="48"/>
      <c r="DC103" s="46"/>
      <c r="DD103" s="138"/>
      <c r="DE103" s="47"/>
      <c r="DF103" s="48"/>
      <c r="DG103" s="46"/>
      <c r="DH103" s="138"/>
      <c r="DI103" s="47"/>
      <c r="DJ103" s="48"/>
      <c r="DK103" s="46"/>
      <c r="DL103" s="47"/>
      <c r="DM103" s="47"/>
      <c r="DN103" s="177"/>
      <c r="DO103" s="48"/>
      <c r="DP103" s="718"/>
    </row>
    <row r="104" spans="1:120" ht="12.75" hidden="1" customHeight="1" outlineLevel="1">
      <c r="A104" s="14"/>
      <c r="B104" s="396"/>
      <c r="C104" s="656"/>
      <c r="D104" s="657"/>
      <c r="E104" s="665"/>
      <c r="F104" s="357"/>
      <c r="G104" s="498"/>
      <c r="H104" s="483" t="s">
        <v>534</v>
      </c>
      <c r="I104" s="635"/>
      <c r="J104" s="642"/>
      <c r="K104" s="632"/>
      <c r="L104" s="630"/>
      <c r="M104" s="628"/>
      <c r="N104" s="628"/>
      <c r="O104" s="327"/>
      <c r="P104" s="328"/>
      <c r="Q104" s="328"/>
      <c r="R104" s="330"/>
      <c r="S104" s="286"/>
      <c r="T104" s="328"/>
      <c r="U104" s="328"/>
      <c r="V104" s="330"/>
      <c r="W104" s="286"/>
      <c r="X104" s="327"/>
      <c r="Y104" s="328"/>
      <c r="Z104" s="328"/>
      <c r="AA104" s="358"/>
      <c r="AB104" s="360"/>
      <c r="AC104" s="268"/>
      <c r="AD104" s="268"/>
      <c r="AE104" s="272"/>
      <c r="AF104" s="330"/>
      <c r="AG104" s="327"/>
      <c r="AH104" s="330"/>
      <c r="AI104" s="328"/>
      <c r="AJ104" s="329"/>
      <c r="AK104" s="328"/>
      <c r="AL104" s="328"/>
      <c r="AM104" s="328"/>
      <c r="AN104" s="329"/>
      <c r="AO104" s="327"/>
      <c r="AP104" s="328"/>
      <c r="AQ104" s="328"/>
      <c r="AR104" s="328"/>
      <c r="AS104" s="304"/>
      <c r="AT104" s="331"/>
      <c r="AU104" s="331"/>
      <c r="AV104" s="304"/>
      <c r="AW104" s="329"/>
      <c r="AX104" s="327"/>
      <c r="AY104" s="328"/>
      <c r="AZ104" s="331"/>
      <c r="BA104" s="329"/>
      <c r="BB104" s="332"/>
      <c r="BC104" s="331"/>
      <c r="BD104" s="331"/>
      <c r="BE104" s="331"/>
      <c r="BF104" s="331"/>
      <c r="BG104" s="330"/>
      <c r="BH104" s="331"/>
      <c r="BI104" s="331"/>
      <c r="BJ104" s="329"/>
      <c r="BK104" s="545" t="s">
        <v>525</v>
      </c>
      <c r="BL104" s="328"/>
      <c r="BM104" s="328"/>
      <c r="BN104" s="330"/>
      <c r="BO104" s="329"/>
      <c r="BP104" s="290"/>
      <c r="BQ104" s="331"/>
      <c r="BR104" s="328"/>
      <c r="BS104" s="556" t="s">
        <v>536</v>
      </c>
      <c r="BT104" s="327"/>
      <c r="BU104" s="331"/>
      <c r="BV104" s="328"/>
      <c r="BW104" s="596" t="s">
        <v>64</v>
      </c>
      <c r="BX104" s="327"/>
      <c r="BY104" s="328"/>
      <c r="BZ104" s="565" t="s">
        <v>539</v>
      </c>
      <c r="CA104" s="328"/>
      <c r="CB104" s="330"/>
      <c r="CC104" s="327"/>
      <c r="CD104" s="331"/>
      <c r="CE104" s="328"/>
      <c r="CF104" s="329"/>
      <c r="CG104" s="328"/>
      <c r="CH104" s="331"/>
      <c r="CI104" s="328"/>
      <c r="CJ104" s="329"/>
      <c r="CK104" s="327"/>
      <c r="CL104" s="328"/>
      <c r="CM104" s="328"/>
      <c r="CN104" s="330"/>
      <c r="CO104" s="329"/>
      <c r="CP104" s="327"/>
      <c r="CQ104" s="331"/>
      <c r="CR104" s="328"/>
      <c r="CS104" s="329"/>
      <c r="CT104" s="327"/>
      <c r="CU104" s="331"/>
      <c r="CV104" s="328"/>
      <c r="CW104" s="329"/>
      <c r="CX104" s="327"/>
      <c r="CY104" s="328"/>
      <c r="CZ104" s="328"/>
      <c r="DA104" s="330"/>
      <c r="DB104" s="329"/>
      <c r="DC104" s="327"/>
      <c r="DD104" s="331"/>
      <c r="DE104" s="328"/>
      <c r="DF104" s="329"/>
      <c r="DG104" s="327"/>
      <c r="DH104" s="331"/>
      <c r="DI104" s="328"/>
      <c r="DJ104" s="329"/>
      <c r="DK104" s="327"/>
      <c r="DL104" s="328"/>
      <c r="DM104" s="328"/>
      <c r="DN104" s="330"/>
      <c r="DO104" s="329"/>
      <c r="DP104" s="718"/>
    </row>
    <row r="105" spans="1:120" ht="12.75" hidden="1" customHeight="1" outlineLevel="1">
      <c r="A105" s="14"/>
      <c r="B105" s="396"/>
      <c r="C105" s="656"/>
      <c r="D105" s="657"/>
      <c r="E105" s="665"/>
      <c r="F105" s="225" t="s">
        <v>0</v>
      </c>
      <c r="G105" s="649" t="str">
        <f>G101</f>
        <v>On hold</v>
      </c>
      <c r="H105" s="484" t="s">
        <v>129</v>
      </c>
      <c r="I105" s="635"/>
      <c r="J105" s="642"/>
      <c r="K105" s="632"/>
      <c r="L105" s="630"/>
      <c r="M105" s="628"/>
      <c r="N105" s="628"/>
      <c r="O105" s="218"/>
      <c r="P105" s="242"/>
      <c r="Q105" s="242"/>
      <c r="R105" s="242"/>
      <c r="S105" s="244"/>
      <c r="T105" s="242"/>
      <c r="U105" s="242"/>
      <c r="V105" s="245"/>
      <c r="W105" s="244"/>
      <c r="X105" s="218"/>
      <c r="Y105" s="242"/>
      <c r="Z105" s="242"/>
      <c r="AA105" s="246"/>
      <c r="AB105" s="218"/>
      <c r="AC105" s="242"/>
      <c r="AD105" s="276" t="s">
        <v>319</v>
      </c>
      <c r="AE105" s="198" t="s">
        <v>27</v>
      </c>
      <c r="AF105" s="305"/>
      <c r="AG105" s="218"/>
      <c r="AH105" s="421" t="s">
        <v>353</v>
      </c>
      <c r="AI105" s="242"/>
      <c r="AJ105" s="505" t="s">
        <v>26</v>
      </c>
      <c r="AK105" s="219" t="s">
        <v>82</v>
      </c>
      <c r="AL105" s="242"/>
      <c r="AM105" s="242"/>
      <c r="AN105" s="246"/>
      <c r="AO105" s="218"/>
      <c r="AP105" s="242"/>
      <c r="AQ105" s="242"/>
      <c r="AR105" s="242"/>
      <c r="AS105" s="287" t="s">
        <v>25</v>
      </c>
      <c r="AT105" s="218"/>
      <c r="AU105" s="242"/>
      <c r="AV105" s="242"/>
      <c r="AW105" s="246"/>
      <c r="AX105" s="218"/>
      <c r="AY105" s="242"/>
      <c r="AZ105" s="83" t="s">
        <v>24</v>
      </c>
      <c r="BA105" s="246" t="s">
        <v>100</v>
      </c>
      <c r="BB105" s="323"/>
      <c r="BC105" s="83" t="s">
        <v>101</v>
      </c>
      <c r="BD105" s="376" t="s">
        <v>101</v>
      </c>
      <c r="BE105" s="376" t="s">
        <v>101</v>
      </c>
      <c r="BF105" s="376" t="s">
        <v>101</v>
      </c>
      <c r="BG105" s="218"/>
      <c r="BH105" s="83" t="s">
        <v>14</v>
      </c>
      <c r="BI105" s="242"/>
      <c r="BJ105" s="246"/>
      <c r="BK105" s="242" t="s">
        <v>228</v>
      </c>
      <c r="BL105" s="242"/>
      <c r="BM105" s="242" t="s">
        <v>78</v>
      </c>
      <c r="BN105" s="245"/>
      <c r="BO105" s="373"/>
      <c r="BP105" s="218"/>
      <c r="BQ105" s="242"/>
      <c r="BR105" s="242"/>
      <c r="BS105" s="246"/>
      <c r="BT105" s="218"/>
      <c r="BU105" s="242"/>
      <c r="BV105" s="242"/>
      <c r="BW105" s="246"/>
      <c r="BX105" s="218"/>
      <c r="BY105" s="242"/>
      <c r="BZ105" s="242"/>
      <c r="CA105" s="242"/>
      <c r="CB105" s="245"/>
      <c r="CC105" s="218"/>
      <c r="CD105" s="242"/>
      <c r="CE105" s="242"/>
      <c r="CF105" s="246"/>
      <c r="CG105" s="242"/>
      <c r="CH105" s="242"/>
      <c r="CI105" s="242"/>
      <c r="CJ105" s="246"/>
      <c r="CK105" s="218"/>
      <c r="CL105" s="242"/>
      <c r="CM105" s="242"/>
      <c r="CN105" s="245"/>
      <c r="CO105" s="373"/>
      <c r="CP105" s="218"/>
      <c r="CQ105" s="242"/>
      <c r="CR105" s="242"/>
      <c r="CS105" s="246"/>
      <c r="CT105" s="218"/>
      <c r="CU105" s="242"/>
      <c r="CV105" s="242"/>
      <c r="CW105" s="246"/>
      <c r="CX105" s="218"/>
      <c r="CY105" s="242"/>
      <c r="CZ105" s="242"/>
      <c r="DA105" s="245"/>
      <c r="DB105" s="373"/>
      <c r="DC105" s="218"/>
      <c r="DD105" s="242"/>
      <c r="DE105" s="242"/>
      <c r="DF105" s="246"/>
      <c r="DG105" s="218"/>
      <c r="DH105" s="242"/>
      <c r="DI105" s="242"/>
      <c r="DJ105" s="246"/>
      <c r="DK105" s="218"/>
      <c r="DL105" s="242"/>
      <c r="DM105" s="242"/>
      <c r="DN105" s="245"/>
      <c r="DO105" s="373"/>
      <c r="DP105" s="718"/>
    </row>
    <row r="106" spans="1:120" ht="12.75" hidden="1" customHeight="1" outlineLevel="1">
      <c r="A106" s="14"/>
      <c r="B106" s="396"/>
      <c r="C106" s="656"/>
      <c r="D106" s="657"/>
      <c r="E106" s="665"/>
      <c r="F106" s="225" t="s">
        <v>1</v>
      </c>
      <c r="G106" s="649"/>
      <c r="H106" s="484" t="s">
        <v>130</v>
      </c>
      <c r="I106" s="635"/>
      <c r="J106" s="642"/>
      <c r="K106" s="632"/>
      <c r="L106" s="630"/>
      <c r="M106" s="629"/>
      <c r="N106" s="628"/>
      <c r="O106" s="278"/>
      <c r="P106" s="279"/>
      <c r="Q106" s="279"/>
      <c r="R106" s="64"/>
      <c r="S106" s="243"/>
      <c r="T106" s="146"/>
      <c r="U106" s="72"/>
      <c r="V106" s="338"/>
      <c r="W106" s="277"/>
      <c r="X106" s="278"/>
      <c r="Y106" s="279"/>
      <c r="Z106" s="338"/>
      <c r="AA106" s="277"/>
      <c r="AB106" s="278"/>
      <c r="AC106" s="279"/>
      <c r="AD106" s="279"/>
      <c r="AE106" s="279"/>
      <c r="AF106" s="185" t="s">
        <v>121</v>
      </c>
      <c r="AG106" s="146"/>
      <c r="AH106" s="72"/>
      <c r="AI106" s="346" t="s">
        <v>38</v>
      </c>
      <c r="AJ106" s="277"/>
      <c r="AK106" s="279"/>
      <c r="AL106" s="279"/>
      <c r="AM106" s="338" t="s">
        <v>162</v>
      </c>
      <c r="AN106" s="277"/>
      <c r="AO106" s="278"/>
      <c r="AP106" s="279"/>
      <c r="AQ106" s="279"/>
      <c r="AR106" s="338"/>
      <c r="AS106" s="277"/>
      <c r="AT106" s="278"/>
      <c r="AU106" s="279"/>
      <c r="AV106" s="338" t="s">
        <v>171</v>
      </c>
      <c r="AW106" s="277"/>
      <c r="AX106" s="278"/>
      <c r="AY106" s="279"/>
      <c r="AZ106" s="338" t="s">
        <v>171</v>
      </c>
      <c r="BA106" s="277"/>
      <c r="BB106" s="278"/>
      <c r="BC106" s="279"/>
      <c r="BD106" s="279"/>
      <c r="BE106" s="338"/>
      <c r="BF106" s="277"/>
      <c r="BG106" s="146"/>
      <c r="BH106" s="72"/>
      <c r="BI106" s="338"/>
      <c r="BJ106" s="277"/>
      <c r="BK106" s="278"/>
      <c r="BL106" s="72"/>
      <c r="BM106" s="338"/>
      <c r="BN106" s="247"/>
      <c r="BO106" s="374"/>
      <c r="BP106" s="146"/>
      <c r="BQ106" s="72"/>
      <c r="BR106" s="338"/>
      <c r="BS106" s="277"/>
      <c r="BT106" s="146"/>
      <c r="BU106" s="72"/>
      <c r="BV106" s="338"/>
      <c r="BW106" s="277"/>
      <c r="BX106" s="278"/>
      <c r="BY106" s="72"/>
      <c r="BZ106" s="338"/>
      <c r="CA106" s="72"/>
      <c r="CB106" s="247"/>
      <c r="CC106" s="146"/>
      <c r="CD106" s="72"/>
      <c r="CE106" s="338"/>
      <c r="CF106" s="277"/>
      <c r="CG106" s="72"/>
      <c r="CH106" s="72"/>
      <c r="CI106" s="338"/>
      <c r="CJ106" s="277"/>
      <c r="CK106" s="278"/>
      <c r="CL106" s="72"/>
      <c r="CM106" s="338"/>
      <c r="CN106" s="247"/>
      <c r="CO106" s="374"/>
      <c r="CP106" s="146"/>
      <c r="CQ106" s="72"/>
      <c r="CR106" s="338"/>
      <c r="CS106" s="277"/>
      <c r="CT106" s="146"/>
      <c r="CU106" s="72"/>
      <c r="CV106" s="338"/>
      <c r="CW106" s="277"/>
      <c r="CX106" s="278"/>
      <c r="CY106" s="72"/>
      <c r="CZ106" s="338"/>
      <c r="DA106" s="247"/>
      <c r="DB106" s="374"/>
      <c r="DC106" s="146"/>
      <c r="DD106" s="72"/>
      <c r="DE106" s="338"/>
      <c r="DF106" s="277"/>
      <c r="DG106" s="146"/>
      <c r="DH106" s="72"/>
      <c r="DI106" s="338"/>
      <c r="DJ106" s="277"/>
      <c r="DK106" s="278"/>
      <c r="DL106" s="72"/>
      <c r="DM106" s="338"/>
      <c r="DN106" s="247"/>
      <c r="DO106" s="374"/>
      <c r="DP106" s="719"/>
    </row>
    <row r="107" spans="1:120" ht="12.75" hidden="1" customHeight="1" outlineLevel="1">
      <c r="A107" s="14"/>
      <c r="B107" s="396"/>
      <c r="C107" s="656"/>
      <c r="D107" s="657"/>
      <c r="E107" s="665"/>
      <c r="F107" s="225" t="s">
        <v>1</v>
      </c>
      <c r="G107" s="496"/>
      <c r="H107" s="484" t="s">
        <v>157</v>
      </c>
      <c r="I107" s="635"/>
      <c r="J107" s="642"/>
      <c r="K107" s="632"/>
      <c r="L107" s="630"/>
      <c r="M107" s="629"/>
      <c r="N107" s="628"/>
      <c r="O107" s="154"/>
      <c r="P107" s="153"/>
      <c r="Q107" s="153"/>
      <c r="R107" s="200"/>
      <c r="S107" s="248"/>
      <c r="T107" s="153"/>
      <c r="U107" s="153"/>
      <c r="V107" s="249"/>
      <c r="W107" s="248"/>
      <c r="X107" s="154"/>
      <c r="Y107" s="153"/>
      <c r="Z107" s="153"/>
      <c r="AA107" s="153"/>
      <c r="AB107" s="154"/>
      <c r="AC107" s="303" t="s">
        <v>318</v>
      </c>
      <c r="AD107" s="153"/>
      <c r="AE107" s="200"/>
      <c r="AF107" s="310"/>
      <c r="AG107" s="154"/>
      <c r="AH107" s="153"/>
      <c r="AI107" s="249"/>
      <c r="AJ107" s="248"/>
      <c r="AK107" s="153"/>
      <c r="AL107" s="153"/>
      <c r="AM107" s="153"/>
      <c r="AN107" s="153"/>
      <c r="AO107" s="154"/>
      <c r="AP107" s="153"/>
      <c r="AQ107" s="153"/>
      <c r="AR107" s="249"/>
      <c r="AS107" s="248"/>
      <c r="AT107" s="154"/>
      <c r="AU107" s="153"/>
      <c r="AV107" s="153"/>
      <c r="AW107" s="250"/>
      <c r="AX107" s="146"/>
      <c r="AY107" s="153"/>
      <c r="AZ107" s="153"/>
      <c r="BA107" s="250"/>
      <c r="BB107" s="146"/>
      <c r="BC107" s="153"/>
      <c r="BD107" s="153"/>
      <c r="BE107" s="153"/>
      <c r="BF107" s="250"/>
      <c r="BG107" s="154"/>
      <c r="BH107" s="153"/>
      <c r="BI107" s="153"/>
      <c r="BJ107" s="153" t="s">
        <v>160</v>
      </c>
      <c r="BK107" s="153" t="s">
        <v>152</v>
      </c>
      <c r="BL107" s="153"/>
      <c r="BM107" s="72"/>
      <c r="BN107" s="247" t="s">
        <v>153</v>
      </c>
      <c r="BO107" s="250"/>
      <c r="BP107" s="154"/>
      <c r="BQ107" s="153"/>
      <c r="BR107" s="153"/>
      <c r="BS107" s="250"/>
      <c r="BT107" s="154"/>
      <c r="BU107" s="153"/>
      <c r="BV107" s="153"/>
      <c r="BW107" s="250"/>
      <c r="BX107" s="146"/>
      <c r="BY107" s="153"/>
      <c r="BZ107" s="72"/>
      <c r="CA107" s="72"/>
      <c r="CB107" s="249"/>
      <c r="CC107" s="154"/>
      <c r="CD107" s="153"/>
      <c r="CE107" s="153"/>
      <c r="CF107" s="250"/>
      <c r="CG107" s="153"/>
      <c r="CH107" s="153"/>
      <c r="CI107" s="153"/>
      <c r="CJ107" s="250"/>
      <c r="CK107" s="146"/>
      <c r="CL107" s="153"/>
      <c r="CM107" s="72"/>
      <c r="CN107" s="247"/>
      <c r="CO107" s="250"/>
      <c r="CP107" s="154"/>
      <c r="CQ107" s="153"/>
      <c r="CR107" s="153"/>
      <c r="CS107" s="250"/>
      <c r="CT107" s="154"/>
      <c r="CU107" s="153"/>
      <c r="CV107" s="153"/>
      <c r="CW107" s="250"/>
      <c r="CX107" s="146"/>
      <c r="CY107" s="153"/>
      <c r="CZ107" s="72"/>
      <c r="DA107" s="247"/>
      <c r="DB107" s="250"/>
      <c r="DC107" s="154"/>
      <c r="DD107" s="153"/>
      <c r="DE107" s="153"/>
      <c r="DF107" s="250"/>
      <c r="DG107" s="154"/>
      <c r="DH107" s="153"/>
      <c r="DI107" s="153"/>
      <c r="DJ107" s="250"/>
      <c r="DK107" s="146"/>
      <c r="DL107" s="153"/>
      <c r="DM107" s="72"/>
      <c r="DN107" s="247"/>
      <c r="DO107" s="250"/>
      <c r="DP107" s="241" t="s">
        <v>311</v>
      </c>
    </row>
    <row r="108" spans="1:120" ht="12.75" hidden="1" customHeight="1" outlineLevel="1" thickBot="1">
      <c r="A108" s="14"/>
      <c r="B108" s="396"/>
      <c r="C108" s="658"/>
      <c r="D108" s="659"/>
      <c r="E108" s="666"/>
      <c r="F108" s="359" t="s">
        <v>0</v>
      </c>
      <c r="G108" s="497"/>
      <c r="H108" s="489" t="s">
        <v>39</v>
      </c>
      <c r="I108" s="101"/>
      <c r="J108" s="102"/>
      <c r="K108" s="103"/>
      <c r="L108" s="128"/>
      <c r="M108" s="439"/>
      <c r="N108" s="439"/>
      <c r="O108" s="84"/>
      <c r="P108" s="39"/>
      <c r="Q108" s="407"/>
      <c r="R108" s="184"/>
      <c r="S108" s="193"/>
      <c r="T108" s="39"/>
      <c r="U108" s="468"/>
      <c r="V108" s="184"/>
      <c r="W108" s="193"/>
      <c r="X108" s="84"/>
      <c r="Y108" s="39"/>
      <c r="Z108" s="40"/>
      <c r="AA108" s="39"/>
      <c r="AB108" s="84"/>
      <c r="AC108" s="213" t="s">
        <v>317</v>
      </c>
      <c r="AD108" s="407"/>
      <c r="AE108" s="184"/>
      <c r="AF108" s="472"/>
      <c r="AG108" s="38"/>
      <c r="AH108" s="438" t="s">
        <v>41</v>
      </c>
      <c r="AI108" s="39"/>
      <c r="AJ108" s="39"/>
      <c r="AK108" s="84"/>
      <c r="AL108" s="39"/>
      <c r="AM108" s="39"/>
      <c r="AN108" s="39"/>
      <c r="AO108" s="84"/>
      <c r="AP108" s="407"/>
      <c r="AQ108" s="407"/>
      <c r="AR108" s="39"/>
      <c r="AS108" s="506" t="s">
        <v>368</v>
      </c>
      <c r="AT108" s="493" t="s">
        <v>72</v>
      </c>
      <c r="AU108" s="40"/>
      <c r="AV108" s="39"/>
      <c r="AW108" s="41"/>
      <c r="AX108" s="494" t="s">
        <v>68</v>
      </c>
      <c r="AY108" s="40"/>
      <c r="AZ108" s="39"/>
      <c r="BA108" s="184"/>
      <c r="BB108" s="84"/>
      <c r="BC108" s="39"/>
      <c r="BD108" s="407"/>
      <c r="BE108" s="39"/>
      <c r="BF108" s="41"/>
      <c r="BG108" s="38"/>
      <c r="BH108" s="40" t="s">
        <v>53</v>
      </c>
      <c r="BI108" s="407"/>
      <c r="BJ108" s="41"/>
      <c r="BK108" s="84"/>
      <c r="BL108" s="39" t="s">
        <v>69</v>
      </c>
      <c r="BM108" s="39" t="s">
        <v>45</v>
      </c>
      <c r="BN108" s="39"/>
      <c r="BO108" s="41"/>
      <c r="BP108" s="39" t="s">
        <v>55</v>
      </c>
      <c r="BQ108" s="40"/>
      <c r="BR108" s="39"/>
      <c r="BS108" s="41"/>
      <c r="BT108" s="38"/>
      <c r="BU108" s="40"/>
      <c r="BV108" s="39"/>
      <c r="BW108" s="41"/>
      <c r="BX108" s="84"/>
      <c r="BY108" s="39"/>
      <c r="BZ108" s="407"/>
      <c r="CA108" s="407"/>
      <c r="CB108" s="620"/>
      <c r="CC108" s="38"/>
      <c r="CD108" s="40"/>
      <c r="CE108" s="39"/>
      <c r="CF108" s="41"/>
      <c r="CG108" s="39"/>
      <c r="CH108" s="40"/>
      <c r="CI108" s="39"/>
      <c r="CJ108" s="41"/>
      <c r="CK108" s="84"/>
      <c r="CL108" s="39"/>
      <c r="CM108" s="407"/>
      <c r="CN108" s="407"/>
      <c r="CO108" s="41"/>
      <c r="CP108" s="38"/>
      <c r="CQ108" s="40"/>
      <c r="CR108" s="39"/>
      <c r="CS108" s="41"/>
      <c r="CT108" s="38"/>
      <c r="CU108" s="40"/>
      <c r="CV108" s="39"/>
      <c r="CW108" s="41"/>
      <c r="CX108" s="84"/>
      <c r="CY108" s="39"/>
      <c r="CZ108" s="407"/>
      <c r="DA108" s="407"/>
      <c r="DB108" s="41"/>
      <c r="DC108" s="38"/>
      <c r="DD108" s="40"/>
      <c r="DE108" s="39"/>
      <c r="DF108" s="41"/>
      <c r="DG108" s="38"/>
      <c r="DH108" s="40"/>
      <c r="DI108" s="39"/>
      <c r="DJ108" s="41"/>
      <c r="DK108" s="84"/>
      <c r="DL108" s="39"/>
      <c r="DM108" s="407"/>
      <c r="DN108" s="407"/>
      <c r="DO108" s="41"/>
      <c r="DP108" s="495" t="s">
        <v>323</v>
      </c>
    </row>
    <row r="109" spans="1:120" ht="12.75" customHeight="1" thickBot="1">
      <c r="A109" s="14"/>
      <c r="B109" s="396"/>
      <c r="C109" s="76"/>
      <c r="D109" s="82"/>
      <c r="E109" s="1"/>
      <c r="F109" s="82"/>
      <c r="G109" s="82"/>
      <c r="H109" s="66"/>
      <c r="I109" s="66"/>
      <c r="J109" s="82"/>
      <c r="K109" s="82"/>
      <c r="L109" s="82"/>
      <c r="M109" s="460"/>
      <c r="N109" s="460"/>
      <c r="O109" s="67"/>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7"/>
      <c r="BH109" s="66"/>
      <c r="BI109" s="66"/>
      <c r="BJ109" s="66"/>
      <c r="BK109" s="67"/>
      <c r="BL109" s="66"/>
      <c r="BM109" s="66"/>
      <c r="BN109" s="66"/>
      <c r="BO109" s="66"/>
      <c r="BP109" s="67"/>
      <c r="BQ109" s="66"/>
      <c r="BR109" s="66"/>
      <c r="BS109" s="66"/>
      <c r="BT109" s="67"/>
      <c r="BU109" s="66"/>
      <c r="BV109" s="66"/>
      <c r="BW109" s="66"/>
      <c r="BX109" s="67"/>
      <c r="BY109" s="66"/>
      <c r="BZ109" s="66"/>
      <c r="CA109" s="66"/>
      <c r="CB109" s="66"/>
      <c r="CC109" s="67"/>
      <c r="CD109" s="66"/>
      <c r="CE109" s="66"/>
      <c r="CF109" s="68"/>
      <c r="CG109" s="66"/>
      <c r="CH109" s="66"/>
      <c r="CI109" s="66"/>
      <c r="CJ109" s="66"/>
      <c r="CK109" s="67"/>
      <c r="CL109" s="66"/>
      <c r="CM109" s="66"/>
      <c r="CN109" s="66"/>
      <c r="CO109" s="68"/>
      <c r="CP109" s="67"/>
      <c r="CQ109" s="66"/>
      <c r="CR109" s="66"/>
      <c r="CS109" s="66"/>
      <c r="CT109" s="67"/>
      <c r="CU109" s="66"/>
      <c r="CV109" s="66"/>
      <c r="CW109" s="66"/>
      <c r="CX109" s="67"/>
      <c r="CY109" s="66"/>
      <c r="CZ109" s="66"/>
      <c r="DA109" s="66"/>
      <c r="DB109" s="68"/>
      <c r="DC109" s="67"/>
      <c r="DD109" s="66"/>
      <c r="DE109" s="66"/>
      <c r="DF109" s="66"/>
      <c r="DG109" s="67"/>
      <c r="DH109" s="66"/>
      <c r="DI109" s="66"/>
      <c r="DJ109" s="66"/>
      <c r="DK109" s="67"/>
      <c r="DL109" s="66"/>
      <c r="DM109" s="66"/>
      <c r="DN109" s="66"/>
      <c r="DO109" s="68"/>
      <c r="DP109" s="16"/>
    </row>
    <row r="110" spans="1:120" ht="12.75" customHeight="1" thickBot="1">
      <c r="A110" s="14"/>
      <c r="B110" s="396"/>
      <c r="C110" s="660" t="s">
        <v>467</v>
      </c>
      <c r="D110" s="661"/>
      <c r="E110" s="1"/>
      <c r="F110" s="82"/>
      <c r="G110" s="82"/>
      <c r="H110" s="66"/>
      <c r="I110" s="66"/>
      <c r="J110" s="82"/>
      <c r="K110" s="82"/>
      <c r="L110" s="82"/>
      <c r="M110" s="460"/>
      <c r="N110" s="460"/>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7"/>
      <c r="BH110" s="66"/>
      <c r="BI110" s="66"/>
      <c r="BJ110" s="66"/>
      <c r="BK110" s="67"/>
      <c r="BL110" s="66"/>
      <c r="BM110" s="66"/>
      <c r="BN110" s="66"/>
      <c r="BO110" s="66"/>
      <c r="BP110" s="67"/>
      <c r="BQ110" s="66"/>
      <c r="BR110" s="66"/>
      <c r="BS110" s="66"/>
      <c r="BT110" s="67"/>
      <c r="BU110" s="66"/>
      <c r="BV110" s="66"/>
      <c r="BW110" s="66"/>
      <c r="BX110" s="67"/>
      <c r="BY110" s="66"/>
      <c r="BZ110" s="66"/>
      <c r="CA110" s="66"/>
      <c r="CB110" s="66"/>
      <c r="CC110" s="67"/>
      <c r="CD110" s="66"/>
      <c r="CE110" s="66"/>
      <c r="CF110" s="68"/>
      <c r="CG110" s="66"/>
      <c r="CH110" s="66"/>
      <c r="CI110" s="66"/>
      <c r="CJ110" s="66"/>
      <c r="CK110" s="67"/>
      <c r="CL110" s="66"/>
      <c r="CM110" s="66"/>
      <c r="CN110" s="66"/>
      <c r="CO110" s="68"/>
      <c r="CP110" s="67"/>
      <c r="CQ110" s="66"/>
      <c r="CR110" s="66"/>
      <c r="CS110" s="66"/>
      <c r="CT110" s="67"/>
      <c r="CU110" s="66"/>
      <c r="CV110" s="66"/>
      <c r="CW110" s="66"/>
      <c r="CX110" s="67"/>
      <c r="CY110" s="66"/>
      <c r="CZ110" s="66"/>
      <c r="DA110" s="66"/>
      <c r="DB110" s="68"/>
      <c r="DC110" s="67"/>
      <c r="DD110" s="66"/>
      <c r="DE110" s="66"/>
      <c r="DF110" s="66"/>
      <c r="DG110" s="67"/>
      <c r="DH110" s="66"/>
      <c r="DI110" s="66"/>
      <c r="DJ110" s="66"/>
      <c r="DK110" s="67"/>
      <c r="DL110" s="66"/>
      <c r="DM110" s="66"/>
      <c r="DN110" s="66"/>
      <c r="DO110" s="68"/>
      <c r="DP110" s="16"/>
    </row>
    <row r="111" spans="1:120" ht="3.75" customHeight="1" thickBot="1">
      <c r="A111" s="14"/>
      <c r="B111" s="396"/>
      <c r="C111" s="76"/>
      <c r="D111" s="82"/>
      <c r="E111" s="1"/>
      <c r="F111" s="82"/>
      <c r="G111" s="82"/>
      <c r="H111" s="66"/>
      <c r="I111" s="66"/>
      <c r="J111" s="82"/>
      <c r="K111" s="82"/>
      <c r="L111" s="82"/>
      <c r="M111" s="460"/>
      <c r="N111" s="460"/>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7"/>
      <c r="BH111" s="66"/>
      <c r="BI111" s="66"/>
      <c r="BJ111" s="66"/>
      <c r="BK111" s="67"/>
      <c r="BL111" s="66"/>
      <c r="BM111" s="66"/>
      <c r="BN111" s="66"/>
      <c r="BO111" s="66"/>
      <c r="BP111" s="67"/>
      <c r="BQ111" s="66"/>
      <c r="BR111" s="66"/>
      <c r="BS111" s="66"/>
      <c r="BT111" s="67"/>
      <c r="BU111" s="66"/>
      <c r="BV111" s="66"/>
      <c r="BW111" s="66"/>
      <c r="BX111" s="67"/>
      <c r="BY111" s="66"/>
      <c r="BZ111" s="66"/>
      <c r="CA111" s="66"/>
      <c r="CB111" s="66"/>
      <c r="CC111" s="67"/>
      <c r="CD111" s="66"/>
      <c r="CE111" s="66"/>
      <c r="CF111" s="68"/>
      <c r="CG111" s="66"/>
      <c r="CH111" s="66"/>
      <c r="CI111" s="66"/>
      <c r="CJ111" s="66"/>
      <c r="CK111" s="67"/>
      <c r="CL111" s="66"/>
      <c r="CM111" s="66"/>
      <c r="CN111" s="66"/>
      <c r="CO111" s="68"/>
      <c r="CP111" s="67"/>
      <c r="CQ111" s="66"/>
      <c r="CR111" s="66"/>
      <c r="CS111" s="66"/>
      <c r="CT111" s="67"/>
      <c r="CU111" s="66"/>
      <c r="CV111" s="66"/>
      <c r="CW111" s="66"/>
      <c r="CX111" s="67"/>
      <c r="CY111" s="66"/>
      <c r="CZ111" s="66"/>
      <c r="DA111" s="66"/>
      <c r="DB111" s="68"/>
      <c r="DC111" s="67"/>
      <c r="DD111" s="66"/>
      <c r="DE111" s="66"/>
      <c r="DF111" s="66"/>
      <c r="DG111" s="67"/>
      <c r="DH111" s="66"/>
      <c r="DI111" s="66"/>
      <c r="DJ111" s="66"/>
      <c r="DK111" s="67"/>
      <c r="DL111" s="66"/>
      <c r="DM111" s="66"/>
      <c r="DN111" s="66"/>
      <c r="DO111" s="68"/>
      <c r="DP111" s="16"/>
    </row>
    <row r="112" spans="1:120" ht="12.75" customHeight="1" collapsed="1" thickBot="1">
      <c r="A112" s="14"/>
      <c r="B112" s="396"/>
      <c r="C112" s="678" t="s">
        <v>595</v>
      </c>
      <c r="D112" s="679"/>
      <c r="E112" s="692"/>
      <c r="F112" s="586" t="s">
        <v>23</v>
      </c>
      <c r="G112" s="684" t="s">
        <v>346</v>
      </c>
      <c r="H112" s="594" t="s">
        <v>40</v>
      </c>
      <c r="I112" s="636"/>
      <c r="J112" s="641"/>
      <c r="K112" s="631"/>
      <c r="L112" s="639"/>
      <c r="M112" s="501"/>
      <c r="N112" s="458"/>
      <c r="O112" s="25"/>
      <c r="P112" s="25"/>
      <c r="Q112" s="25"/>
      <c r="R112" s="31"/>
      <c r="S112" s="27"/>
      <c r="T112" s="25"/>
      <c r="U112" s="25"/>
      <c r="V112" s="24"/>
      <c r="W112" s="26"/>
      <c r="X112" s="23"/>
      <c r="Y112" s="25"/>
      <c r="Z112" s="25"/>
      <c r="AA112" s="26"/>
      <c r="AB112" s="23"/>
      <c r="AC112" s="25"/>
      <c r="AD112" s="25"/>
      <c r="AE112" s="24"/>
      <c r="AF112" s="30"/>
      <c r="AG112" s="25"/>
      <c r="AH112" s="30"/>
      <c r="AI112" s="30"/>
      <c r="AJ112" s="30"/>
      <c r="AK112" s="23"/>
      <c r="AL112" s="25"/>
      <c r="AM112" s="24"/>
      <c r="AN112" s="26"/>
      <c r="AO112" s="23"/>
      <c r="AP112" s="30"/>
      <c r="AQ112" s="24"/>
      <c r="AR112" s="24"/>
      <c r="AS112" s="183"/>
      <c r="AT112" s="23"/>
      <c r="AU112" s="24"/>
      <c r="AV112" s="30"/>
      <c r="AW112" s="183"/>
      <c r="AX112" s="115" t="s">
        <v>29</v>
      </c>
      <c r="AY112" s="25"/>
      <c r="AZ112" s="24"/>
      <c r="BA112" s="26"/>
      <c r="BB112" s="29"/>
      <c r="BC112" s="164" t="s">
        <v>444</v>
      </c>
      <c r="BD112" s="31"/>
      <c r="BE112" s="215" t="s">
        <v>541</v>
      </c>
      <c r="BF112" s="26"/>
      <c r="BG112" s="23"/>
      <c r="BH112" s="24"/>
      <c r="BI112" s="24"/>
      <c r="BJ112" s="26"/>
      <c r="BK112" s="23"/>
      <c r="BL112" s="24"/>
      <c r="BM112" s="24"/>
      <c r="BN112" s="25"/>
      <c r="BO112" s="183"/>
      <c r="BP112" s="377" t="s">
        <v>25</v>
      </c>
      <c r="BQ112" s="24"/>
      <c r="BR112" s="24"/>
      <c r="BS112" s="183"/>
      <c r="BT112" s="23"/>
      <c r="BU112" s="24"/>
      <c r="BV112" s="24"/>
      <c r="BW112" s="183"/>
      <c r="BX112" s="12" t="s">
        <v>24</v>
      </c>
      <c r="BY112" s="24"/>
      <c r="BZ112" s="12" t="s">
        <v>101</v>
      </c>
      <c r="CA112" s="24"/>
      <c r="CB112" s="183"/>
      <c r="CC112" s="23"/>
      <c r="CD112" s="24"/>
      <c r="CE112" s="24"/>
      <c r="CF112" s="26"/>
      <c r="CG112" s="25"/>
      <c r="CH112" s="24"/>
      <c r="CI112" s="58"/>
      <c r="CJ112" s="183"/>
      <c r="CK112" s="23"/>
      <c r="CL112" s="25"/>
      <c r="CM112" s="25"/>
      <c r="CN112" s="24"/>
      <c r="CO112" s="183"/>
      <c r="CP112" s="23"/>
      <c r="CQ112" s="24"/>
      <c r="CR112" s="58"/>
      <c r="CS112" s="183"/>
      <c r="CT112" s="23"/>
      <c r="CU112" s="24"/>
      <c r="CV112" s="58"/>
      <c r="CW112" s="183"/>
      <c r="CX112" s="23"/>
      <c r="CY112" s="25"/>
      <c r="CZ112" s="24"/>
      <c r="DA112" s="24"/>
      <c r="DB112" s="26"/>
      <c r="DC112" s="23"/>
      <c r="DD112" s="24"/>
      <c r="DE112" s="58"/>
      <c r="DF112" s="183"/>
      <c r="DG112" s="23"/>
      <c r="DH112" s="24"/>
      <c r="DI112" s="58"/>
      <c r="DJ112" s="183"/>
      <c r="DK112" s="23"/>
      <c r="DL112" s="25"/>
      <c r="DM112" s="24"/>
      <c r="DN112" s="24"/>
      <c r="DO112" s="26"/>
      <c r="DP112" s="725"/>
    </row>
    <row r="113" spans="1:120" ht="12.75" hidden="1" customHeight="1" outlineLevel="1">
      <c r="A113" s="14"/>
      <c r="B113" s="396"/>
      <c r="C113" s="680"/>
      <c r="D113" s="681"/>
      <c r="E113" s="693"/>
      <c r="F113" s="548" t="s">
        <v>495</v>
      </c>
      <c r="G113" s="685"/>
      <c r="H113" s="589" t="s">
        <v>31</v>
      </c>
      <c r="I113" s="635"/>
      <c r="J113" s="642"/>
      <c r="K113" s="632"/>
      <c r="L113" s="630"/>
      <c r="M113" s="456"/>
      <c r="N113" s="456"/>
      <c r="O113" s="34"/>
      <c r="P113" s="129"/>
      <c r="Q113" s="129"/>
      <c r="R113" s="129"/>
      <c r="S113" s="37"/>
      <c r="T113" s="35"/>
      <c r="U113" s="129"/>
      <c r="V113" s="35"/>
      <c r="W113" s="37"/>
      <c r="X113" s="134"/>
      <c r="Y113" s="35"/>
      <c r="Z113" s="35"/>
      <c r="AA113" s="37"/>
      <c r="AB113" s="34"/>
      <c r="AC113" s="35"/>
      <c r="AD113" s="129"/>
      <c r="AE113" s="129"/>
      <c r="AF113" s="37"/>
      <c r="AG113" s="34"/>
      <c r="AH113" s="35"/>
      <c r="AI113" s="129"/>
      <c r="AJ113" s="129"/>
      <c r="AK113" s="129"/>
      <c r="AL113" s="129"/>
      <c r="AM113" s="35"/>
      <c r="AN113" s="142"/>
      <c r="AO113" s="34"/>
      <c r="AP113" s="35"/>
      <c r="AQ113" s="129"/>
      <c r="AR113" s="129"/>
      <c r="AS113" s="324"/>
      <c r="AT113" s="34"/>
      <c r="AU113" s="162"/>
      <c r="AV113" s="176"/>
      <c r="AW113" s="201" t="s">
        <v>476</v>
      </c>
      <c r="AX113" s="149" t="s">
        <v>452</v>
      </c>
      <c r="AY113" s="43" t="s">
        <v>37</v>
      </c>
      <c r="AZ113" s="32" t="s">
        <v>37</v>
      </c>
      <c r="BA113" s="140" t="s">
        <v>473</v>
      </c>
      <c r="BB113" s="57" t="s">
        <v>76</v>
      </c>
      <c r="BC113" s="140" t="s">
        <v>503</v>
      </c>
      <c r="BD113" s="140" t="s">
        <v>519</v>
      </c>
      <c r="BE113" s="140" t="s">
        <v>542</v>
      </c>
      <c r="BF113" s="199" t="s">
        <v>76</v>
      </c>
      <c r="BG113" s="149" t="s">
        <v>505</v>
      </c>
      <c r="BH113" s="162"/>
      <c r="BI113" s="176"/>
      <c r="BJ113" s="176"/>
      <c r="BK113" s="133" t="s">
        <v>506</v>
      </c>
      <c r="BL113" s="129"/>
      <c r="BM113" s="129"/>
      <c r="BN113" s="129"/>
      <c r="BO113" s="142"/>
      <c r="BP113" s="134"/>
      <c r="BQ113" s="208" t="s">
        <v>504</v>
      </c>
      <c r="BR113" s="208" t="s">
        <v>573</v>
      </c>
      <c r="BS113" s="176"/>
      <c r="BT113" s="148" t="s">
        <v>472</v>
      </c>
      <c r="BU113" s="208" t="s">
        <v>572</v>
      </c>
      <c r="BV113" s="176"/>
      <c r="BW113" s="176"/>
      <c r="BX113" s="34"/>
      <c r="BY113" s="129"/>
      <c r="BZ113" s="129"/>
      <c r="CA113" s="129"/>
      <c r="CB113" s="203"/>
      <c r="CC113" s="134"/>
      <c r="CD113" s="162"/>
      <c r="CE113" s="162"/>
      <c r="CF113" s="37"/>
      <c r="CG113" s="129"/>
      <c r="CH113" s="162"/>
      <c r="CI113" s="162"/>
      <c r="CJ113" s="176"/>
      <c r="CK113" s="34"/>
      <c r="CL113" s="129"/>
      <c r="CM113" s="129"/>
      <c r="CN113" s="129"/>
      <c r="CO113" s="142"/>
      <c r="CP113" s="134"/>
      <c r="CQ113" s="162"/>
      <c r="CR113" s="176"/>
      <c r="CS113" s="176"/>
      <c r="CT113" s="134"/>
      <c r="CU113" s="162"/>
      <c r="CV113" s="176"/>
      <c r="CW113" s="176"/>
      <c r="CX113" s="34"/>
      <c r="CY113" s="129"/>
      <c r="CZ113" s="129"/>
      <c r="DA113" s="129"/>
      <c r="DB113" s="142"/>
      <c r="DC113" s="134"/>
      <c r="DD113" s="162"/>
      <c r="DE113" s="176"/>
      <c r="DF113" s="176"/>
      <c r="DG113" s="134"/>
      <c r="DH113" s="162"/>
      <c r="DI113" s="176"/>
      <c r="DJ113" s="176"/>
      <c r="DK113" s="34"/>
      <c r="DL113" s="129"/>
      <c r="DM113" s="129"/>
      <c r="DN113" s="129"/>
      <c r="DO113" s="142"/>
      <c r="DP113" s="726"/>
    </row>
    <row r="114" spans="1:120" ht="12.75" hidden="1" customHeight="1" outlineLevel="1">
      <c r="A114" s="14"/>
      <c r="B114" s="396"/>
      <c r="C114" s="680"/>
      <c r="D114" s="681"/>
      <c r="E114" s="693"/>
      <c r="F114" s="587" t="s">
        <v>492</v>
      </c>
      <c r="G114" s="685"/>
      <c r="H114" s="590" t="s">
        <v>66</v>
      </c>
      <c r="I114" s="637"/>
      <c r="J114" s="643"/>
      <c r="K114" s="640"/>
      <c r="L114" s="638"/>
      <c r="M114" s="585"/>
      <c r="N114" s="585"/>
      <c r="O114" s="135"/>
      <c r="P114" s="139"/>
      <c r="Q114" s="47"/>
      <c r="R114" s="177"/>
      <c r="S114" s="190"/>
      <c r="T114" s="47"/>
      <c r="U114" s="47"/>
      <c r="V114" s="138"/>
      <c r="W114" s="190"/>
      <c r="X114" s="135"/>
      <c r="Y114" s="47"/>
      <c r="Z114" s="47"/>
      <c r="AA114" s="48"/>
      <c r="AB114" s="135"/>
      <c r="AC114" s="47"/>
      <c r="AD114" s="47"/>
      <c r="AE114" s="56"/>
      <c r="AF114" s="48"/>
      <c r="AG114" s="47"/>
      <c r="AH114" s="138"/>
      <c r="AI114" s="138"/>
      <c r="AJ114" s="48"/>
      <c r="AK114" s="46"/>
      <c r="AL114" s="47"/>
      <c r="AM114" s="138"/>
      <c r="AN114" s="48"/>
      <c r="AO114" s="46"/>
      <c r="AP114" s="138"/>
      <c r="AQ114" s="138"/>
      <c r="AR114" s="177"/>
      <c r="AS114" s="190"/>
      <c r="AT114" s="46"/>
      <c r="AU114" s="138"/>
      <c r="AV114" s="47"/>
      <c r="AW114" s="177"/>
      <c r="AX114" s="149" t="s">
        <v>471</v>
      </c>
      <c r="AY114" s="47"/>
      <c r="AZ114" s="47"/>
      <c r="BA114" s="48"/>
      <c r="BB114" s="46"/>
      <c r="BC114" s="138"/>
      <c r="BD114" s="138"/>
      <c r="BE114" s="177"/>
      <c r="BF114" s="190"/>
      <c r="BG114" s="125" t="s">
        <v>525</v>
      </c>
      <c r="BH114" s="138"/>
      <c r="BI114" s="47"/>
      <c r="BJ114" s="177"/>
      <c r="BK114" s="46"/>
      <c r="BL114" s="47"/>
      <c r="BM114" s="47"/>
      <c r="BN114" s="47"/>
      <c r="BO114" s="48"/>
      <c r="BP114" s="46"/>
      <c r="BQ114" s="138"/>
      <c r="BR114" s="47"/>
      <c r="BS114" s="177"/>
      <c r="BT114" s="46"/>
      <c r="BU114" s="138"/>
      <c r="BV114" s="47"/>
      <c r="BW114" s="177"/>
      <c r="BX114" s="46"/>
      <c r="BY114" s="47"/>
      <c r="BZ114" s="47"/>
      <c r="CA114" s="47"/>
      <c r="CB114" s="177"/>
      <c r="CC114" s="46"/>
      <c r="CD114" s="138"/>
      <c r="CE114" s="47"/>
      <c r="CF114" s="48"/>
      <c r="CG114" s="47"/>
      <c r="CH114" s="138"/>
      <c r="CI114" s="47"/>
      <c r="CJ114" s="177"/>
      <c r="CK114" s="46"/>
      <c r="CL114" s="47"/>
      <c r="CM114" s="47"/>
      <c r="CN114" s="47"/>
      <c r="CO114" s="48"/>
      <c r="CP114" s="46"/>
      <c r="CQ114" s="138"/>
      <c r="CR114" s="47"/>
      <c r="CS114" s="177"/>
      <c r="CT114" s="46"/>
      <c r="CU114" s="138"/>
      <c r="CV114" s="47"/>
      <c r="CW114" s="177"/>
      <c r="CX114" s="46"/>
      <c r="CY114" s="47"/>
      <c r="CZ114" s="47"/>
      <c r="DA114" s="47"/>
      <c r="DB114" s="48"/>
      <c r="DC114" s="46"/>
      <c r="DD114" s="138"/>
      <c r="DE114" s="47"/>
      <c r="DF114" s="177"/>
      <c r="DG114" s="46"/>
      <c r="DH114" s="138"/>
      <c r="DI114" s="47"/>
      <c r="DJ114" s="177"/>
      <c r="DK114" s="46"/>
      <c r="DL114" s="47"/>
      <c r="DM114" s="47"/>
      <c r="DN114" s="47"/>
      <c r="DO114" s="48"/>
      <c r="DP114" s="726"/>
    </row>
    <row r="115" spans="1:120" ht="12.75" hidden="1" customHeight="1" outlineLevel="1" thickBot="1">
      <c r="A115" s="14"/>
      <c r="B115" s="396"/>
      <c r="C115" s="682"/>
      <c r="D115" s="683"/>
      <c r="E115" s="694"/>
      <c r="F115" s="588" t="s">
        <v>0</v>
      </c>
      <c r="G115" s="606" t="str">
        <f>G112</f>
        <v>Purchase phase</v>
      </c>
      <c r="H115" s="591" t="s">
        <v>129</v>
      </c>
      <c r="I115" s="573"/>
      <c r="J115" s="572"/>
      <c r="K115" s="574"/>
      <c r="L115" s="575"/>
      <c r="M115" s="461"/>
      <c r="N115" s="461"/>
      <c r="O115" s="576"/>
      <c r="P115" s="577"/>
      <c r="Q115" s="578"/>
      <c r="R115" s="579"/>
      <c r="S115" s="580"/>
      <c r="T115" s="578"/>
      <c r="U115" s="578"/>
      <c r="V115" s="581"/>
      <c r="W115" s="580"/>
      <c r="X115" s="576"/>
      <c r="Y115" s="578"/>
      <c r="Z115" s="578"/>
      <c r="AA115" s="582"/>
      <c r="AB115" s="576"/>
      <c r="AC115" s="578"/>
      <c r="AD115" s="578"/>
      <c r="AE115" s="583"/>
      <c r="AF115" s="582"/>
      <c r="AG115" s="578"/>
      <c r="AH115" s="581"/>
      <c r="AI115" s="581"/>
      <c r="AJ115" s="582"/>
      <c r="AK115" s="584"/>
      <c r="AL115" s="578"/>
      <c r="AM115" s="581"/>
      <c r="AN115" s="582"/>
      <c r="AO115" s="584"/>
      <c r="AP115" s="581"/>
      <c r="AQ115" s="581"/>
      <c r="AR115" s="579"/>
      <c r="AS115" s="580"/>
      <c r="AT115" s="584"/>
      <c r="AU115" s="581"/>
      <c r="AV115" s="578"/>
      <c r="AW115" s="582"/>
      <c r="AX115" s="584"/>
      <c r="AY115" s="578"/>
      <c r="AZ115" s="581"/>
      <c r="BA115" s="593"/>
      <c r="BB115" s="597" t="s">
        <v>444</v>
      </c>
      <c r="BC115" s="581"/>
      <c r="BD115" s="602" t="s">
        <v>26</v>
      </c>
      <c r="BE115" s="579"/>
      <c r="BF115" s="592"/>
      <c r="BG115" s="584"/>
      <c r="BH115" s="581"/>
      <c r="BI115" s="578"/>
      <c r="BJ115" s="582"/>
      <c r="BK115" s="584"/>
      <c r="BL115" s="602" t="s">
        <v>575</v>
      </c>
      <c r="BM115" s="578"/>
      <c r="BN115" s="578"/>
      <c r="BO115" s="582"/>
      <c r="BP115" s="584"/>
      <c r="BQ115" s="581"/>
      <c r="BR115" s="578"/>
      <c r="BS115" s="579"/>
      <c r="BT115" s="604" t="s">
        <v>24</v>
      </c>
      <c r="BU115" s="581"/>
      <c r="BV115" s="578"/>
      <c r="BW115" s="579"/>
      <c r="BX115" s="584"/>
      <c r="BY115" s="603" t="s">
        <v>101</v>
      </c>
      <c r="BZ115" s="578"/>
      <c r="CA115" s="578"/>
      <c r="CB115" s="579"/>
      <c r="CC115" s="584"/>
      <c r="CD115" s="581"/>
      <c r="CE115" s="578"/>
      <c r="CF115" s="582"/>
      <c r="CG115" s="578"/>
      <c r="CH115" s="581"/>
      <c r="CI115" s="578"/>
      <c r="CJ115" s="579"/>
      <c r="CK115" s="584"/>
      <c r="CL115" s="578"/>
      <c r="CM115" s="578"/>
      <c r="CN115" s="578"/>
      <c r="CO115" s="582"/>
      <c r="CP115" s="584"/>
      <c r="CQ115" s="581"/>
      <c r="CR115" s="578"/>
      <c r="CS115" s="579"/>
      <c r="CT115" s="584"/>
      <c r="CU115" s="581"/>
      <c r="CV115" s="578"/>
      <c r="CW115" s="579"/>
      <c r="CX115" s="584"/>
      <c r="CY115" s="578"/>
      <c r="CZ115" s="578"/>
      <c r="DA115" s="578"/>
      <c r="DB115" s="582"/>
      <c r="DC115" s="584"/>
      <c r="DD115" s="581"/>
      <c r="DE115" s="578"/>
      <c r="DF115" s="579"/>
      <c r="DG115" s="584"/>
      <c r="DH115" s="581"/>
      <c r="DI115" s="578"/>
      <c r="DJ115" s="579"/>
      <c r="DK115" s="584"/>
      <c r="DL115" s="578"/>
      <c r="DM115" s="578"/>
      <c r="DN115" s="578"/>
      <c r="DO115" s="582"/>
      <c r="DP115" s="727"/>
    </row>
    <row r="116" spans="1:120" ht="12.75" hidden="1" customHeight="1" outlineLevel="1">
      <c r="A116" s="14"/>
      <c r="B116" s="654"/>
      <c r="C116" s="695"/>
      <c r="D116" s="696"/>
      <c r="E116" s="391"/>
      <c r="F116" s="42" t="s">
        <v>112</v>
      </c>
      <c r="G116" s="649"/>
      <c r="H116" s="482" t="s">
        <v>31</v>
      </c>
      <c r="I116" s="635"/>
      <c r="J116" s="642"/>
      <c r="K116" s="632"/>
      <c r="L116" s="630"/>
      <c r="M116" s="628"/>
      <c r="N116" s="628"/>
      <c r="O116" s="34"/>
      <c r="P116" s="129"/>
      <c r="Q116" s="129"/>
      <c r="R116" s="129"/>
      <c r="S116" s="142"/>
      <c r="T116" s="35"/>
      <c r="U116" s="129"/>
      <c r="V116" s="35"/>
      <c r="W116" s="189"/>
      <c r="X116" s="134"/>
      <c r="Y116" s="35"/>
      <c r="Z116" s="35"/>
      <c r="AA116" s="37"/>
      <c r="AB116" s="34"/>
      <c r="AC116" s="129"/>
      <c r="AD116" s="129"/>
      <c r="AE116" s="129"/>
      <c r="AF116" s="142"/>
      <c r="AG116" s="35"/>
      <c r="AH116" s="129"/>
      <c r="AI116" s="129"/>
      <c r="AJ116" s="189"/>
      <c r="AK116" s="134"/>
      <c r="AL116" s="35"/>
      <c r="AM116" s="129"/>
      <c r="AN116" s="37"/>
      <c r="AO116" s="34"/>
      <c r="AP116" s="129"/>
      <c r="AQ116" s="129"/>
      <c r="AR116" s="129"/>
      <c r="AS116" s="142"/>
      <c r="AT116" s="35"/>
      <c r="AU116" s="129"/>
      <c r="AV116" s="129"/>
      <c r="AW116" s="189"/>
      <c r="AX116" s="134"/>
      <c r="AY116" s="35"/>
      <c r="AZ116" s="129"/>
      <c r="BA116" s="37"/>
      <c r="BB116" s="530"/>
      <c r="BC116" s="129"/>
      <c r="BD116" s="129"/>
      <c r="BE116" s="129"/>
      <c r="BF116" s="142"/>
      <c r="BG116" s="35"/>
      <c r="BH116" s="129"/>
      <c r="BI116" s="129"/>
      <c r="BJ116" s="189"/>
      <c r="BK116" s="134"/>
      <c r="BL116" s="35"/>
      <c r="BM116" s="129"/>
      <c r="BN116" s="176"/>
      <c r="BO116" s="533"/>
      <c r="BP116" s="129" t="s">
        <v>230</v>
      </c>
      <c r="BQ116" s="129" t="s">
        <v>202</v>
      </c>
      <c r="BR116" s="129" t="s">
        <v>221</v>
      </c>
      <c r="BS116" s="142" t="s">
        <v>123</v>
      </c>
      <c r="BT116" s="35" t="s">
        <v>34</v>
      </c>
      <c r="BU116" s="129" t="s">
        <v>199</v>
      </c>
      <c r="BV116" s="129" t="s">
        <v>367</v>
      </c>
      <c r="BW116" s="189" t="s">
        <v>38</v>
      </c>
      <c r="BX116" s="134" t="s">
        <v>218</v>
      </c>
      <c r="BY116" s="35" t="s">
        <v>35</v>
      </c>
      <c r="BZ116" s="129" t="s">
        <v>383</v>
      </c>
      <c r="CA116" s="176" t="s">
        <v>334</v>
      </c>
      <c r="CB116" s="533" t="s">
        <v>445</v>
      </c>
      <c r="CC116" s="134" t="s">
        <v>206</v>
      </c>
      <c r="CD116" s="129" t="s">
        <v>159</v>
      </c>
      <c r="CE116" s="129" t="s">
        <v>107</v>
      </c>
      <c r="CF116" s="142" t="s">
        <v>231</v>
      </c>
      <c r="CG116" s="35" t="s">
        <v>92</v>
      </c>
      <c r="CH116" s="35" t="s">
        <v>37</v>
      </c>
      <c r="CI116" s="129" t="s">
        <v>215</v>
      </c>
      <c r="CJ116" s="176" t="s">
        <v>36</v>
      </c>
      <c r="CK116" s="34" t="s">
        <v>102</v>
      </c>
      <c r="CL116" s="129"/>
      <c r="CM116" s="35"/>
      <c r="CN116" s="129"/>
      <c r="CO116" s="142"/>
      <c r="CP116" s="134" t="s">
        <v>407</v>
      </c>
      <c r="CQ116" s="129" t="s">
        <v>117</v>
      </c>
      <c r="CR116" s="129"/>
      <c r="CS116" s="324" t="s">
        <v>189</v>
      </c>
      <c r="CT116" s="134" t="s">
        <v>203</v>
      </c>
      <c r="CU116" s="162" t="s">
        <v>110</v>
      </c>
      <c r="CV116" s="176" t="s">
        <v>138</v>
      </c>
      <c r="CW116" s="37"/>
      <c r="CX116" s="134" t="s">
        <v>246</v>
      </c>
      <c r="CY116" s="129" t="s">
        <v>374</v>
      </c>
      <c r="CZ116" s="129" t="s">
        <v>118</v>
      </c>
      <c r="DA116" s="129" t="s">
        <v>197</v>
      </c>
      <c r="DB116" s="142"/>
      <c r="DC116" s="134"/>
      <c r="DD116" s="162"/>
      <c r="DE116" s="176"/>
      <c r="DF116" s="37"/>
      <c r="DG116" s="134"/>
      <c r="DH116" s="162"/>
      <c r="DI116" s="176"/>
      <c r="DJ116" s="37"/>
      <c r="DK116" s="134"/>
      <c r="DL116" s="129"/>
      <c r="DM116" s="129"/>
      <c r="DN116" s="129"/>
      <c r="DO116" s="142"/>
      <c r="DP116" s="718"/>
    </row>
    <row r="117" spans="1:120" ht="12.75" hidden="1" customHeight="1" outlineLevel="1">
      <c r="A117" s="14"/>
      <c r="B117" s="654"/>
      <c r="C117" s="695"/>
      <c r="D117" s="696"/>
      <c r="E117" s="391"/>
      <c r="F117" s="45" t="s">
        <v>204</v>
      </c>
      <c r="G117" s="649"/>
      <c r="H117" s="483" t="s">
        <v>66</v>
      </c>
      <c r="I117" s="635"/>
      <c r="J117" s="642"/>
      <c r="K117" s="632"/>
      <c r="L117" s="630"/>
      <c r="M117" s="628"/>
      <c r="N117" s="628"/>
      <c r="O117" s="46"/>
      <c r="P117" s="47"/>
      <c r="Q117" s="47"/>
      <c r="R117" s="177"/>
      <c r="S117" s="190"/>
      <c r="T117" s="47"/>
      <c r="U117" s="47"/>
      <c r="V117" s="47"/>
      <c r="W117" s="190"/>
      <c r="X117" s="46"/>
      <c r="Y117" s="47"/>
      <c r="Z117" s="47"/>
      <c r="AA117" s="167"/>
      <c r="AB117" s="46"/>
      <c r="AC117" s="47"/>
      <c r="AD117" s="47"/>
      <c r="AE117" s="177"/>
      <c r="AF117" s="190"/>
      <c r="AG117" s="47"/>
      <c r="AH117" s="47"/>
      <c r="AI117" s="47"/>
      <c r="AJ117" s="204"/>
      <c r="AK117" s="46"/>
      <c r="AL117" s="47"/>
      <c r="AM117" s="47"/>
      <c r="AN117" s="167"/>
      <c r="AO117" s="135"/>
      <c r="AP117" s="47"/>
      <c r="AQ117" s="47"/>
      <c r="AR117" s="177"/>
      <c r="AS117" s="204"/>
      <c r="AT117" s="47"/>
      <c r="AU117" s="47"/>
      <c r="AV117" s="47"/>
      <c r="AW117" s="190"/>
      <c r="AX117" s="138"/>
      <c r="AY117" s="47"/>
      <c r="AZ117" s="321"/>
      <c r="BA117" s="290"/>
      <c r="BB117" s="321"/>
      <c r="BC117" s="290"/>
      <c r="BD117" s="47"/>
      <c r="BE117" s="177"/>
      <c r="BF117" s="204"/>
      <c r="BG117" s="47"/>
      <c r="BH117" s="47"/>
      <c r="BI117" s="47"/>
      <c r="BJ117" s="190"/>
      <c r="BK117" s="138"/>
      <c r="BL117" s="47"/>
      <c r="BM117" s="321"/>
      <c r="BN117" s="290"/>
      <c r="BO117" s="321"/>
      <c r="BP117" s="46"/>
      <c r="BQ117" s="47"/>
      <c r="BR117" s="177"/>
      <c r="BS117" s="204" t="s">
        <v>459</v>
      </c>
      <c r="BT117" s="47" t="s">
        <v>37</v>
      </c>
      <c r="BU117" s="47" t="s">
        <v>193</v>
      </c>
      <c r="BV117" s="47" t="s">
        <v>194</v>
      </c>
      <c r="BW117" s="190" t="s">
        <v>61</v>
      </c>
      <c r="BX117" s="138" t="s">
        <v>144</v>
      </c>
      <c r="BY117" s="47" t="s">
        <v>131</v>
      </c>
      <c r="BZ117" s="321" t="s">
        <v>440</v>
      </c>
      <c r="CA117" s="223" t="s">
        <v>76</v>
      </c>
      <c r="CB117" s="350" t="s">
        <v>448</v>
      </c>
      <c r="CC117" s="46" t="s">
        <v>145</v>
      </c>
      <c r="CD117" s="312" t="s">
        <v>234</v>
      </c>
      <c r="CE117" s="321" t="s">
        <v>322</v>
      </c>
      <c r="CF117" s="204" t="s">
        <v>161</v>
      </c>
      <c r="CG117" s="321" t="s">
        <v>190</v>
      </c>
      <c r="CH117" s="290" t="s">
        <v>73</v>
      </c>
      <c r="CI117" s="138"/>
      <c r="CJ117" s="177"/>
      <c r="CK117" s="46" t="s">
        <v>52</v>
      </c>
      <c r="CL117" s="138" t="s">
        <v>233</v>
      </c>
      <c r="CM117" s="177"/>
      <c r="CN117" s="177"/>
      <c r="CO117" s="48"/>
      <c r="CP117" s="480" t="s">
        <v>96</v>
      </c>
      <c r="CQ117" s="138" t="s">
        <v>187</v>
      </c>
      <c r="CR117" s="138" t="s">
        <v>439</v>
      </c>
      <c r="CS117" s="138" t="s">
        <v>122</v>
      </c>
      <c r="CT117" s="46"/>
      <c r="CU117" s="138" t="s">
        <v>119</v>
      </c>
      <c r="CV117" s="47"/>
      <c r="CW117" s="48"/>
      <c r="CX117" s="46"/>
      <c r="CY117" s="47"/>
      <c r="CZ117" s="47"/>
      <c r="DA117" s="177"/>
      <c r="DB117" s="190"/>
      <c r="DC117" s="46"/>
      <c r="DD117" s="138"/>
      <c r="DE117" s="47"/>
      <c r="DF117" s="48"/>
      <c r="DG117" s="46"/>
      <c r="DH117" s="138"/>
      <c r="DI117" s="47"/>
      <c r="DJ117" s="48"/>
      <c r="DK117" s="46"/>
      <c r="DL117" s="47"/>
      <c r="DM117" s="47"/>
      <c r="DN117" s="177"/>
      <c r="DO117" s="190"/>
      <c r="DP117" s="718"/>
    </row>
    <row r="118" spans="1:120" ht="12.75" hidden="1" customHeight="1" outlineLevel="1">
      <c r="A118" s="14"/>
      <c r="B118" s="654"/>
      <c r="C118" s="695"/>
      <c r="D118" s="696"/>
      <c r="E118" s="391"/>
      <c r="F118" s="45"/>
      <c r="G118" s="649"/>
      <c r="H118" s="483" t="s">
        <v>534</v>
      </c>
      <c r="I118" s="635"/>
      <c r="J118" s="642"/>
      <c r="K118" s="632"/>
      <c r="L118" s="630"/>
      <c r="M118" s="628"/>
      <c r="N118" s="628"/>
      <c r="O118" s="327"/>
      <c r="P118" s="328"/>
      <c r="Q118" s="328"/>
      <c r="R118" s="330"/>
      <c r="S118" s="286"/>
      <c r="T118" s="328"/>
      <c r="U118" s="328"/>
      <c r="V118" s="330"/>
      <c r="W118" s="286"/>
      <c r="X118" s="327"/>
      <c r="Y118" s="328"/>
      <c r="Z118" s="328"/>
      <c r="AA118" s="358"/>
      <c r="AB118" s="327"/>
      <c r="AC118" s="328"/>
      <c r="AD118" s="328"/>
      <c r="AE118" s="330"/>
      <c r="AF118" s="286"/>
      <c r="AG118" s="328"/>
      <c r="AH118" s="328"/>
      <c r="AI118" s="330"/>
      <c r="AJ118" s="390"/>
      <c r="AK118" s="327"/>
      <c r="AL118" s="328"/>
      <c r="AM118" s="328"/>
      <c r="AN118" s="358"/>
      <c r="AO118" s="332"/>
      <c r="AP118" s="328"/>
      <c r="AQ118" s="328"/>
      <c r="AR118" s="330"/>
      <c r="AS118" s="390"/>
      <c r="AT118" s="328"/>
      <c r="AU118" s="328"/>
      <c r="AV118" s="330"/>
      <c r="AW118" s="286"/>
      <c r="AX118" s="331"/>
      <c r="AY118" s="328"/>
      <c r="AZ118" s="304"/>
      <c r="BA118" s="330"/>
      <c r="BB118" s="304"/>
      <c r="BC118" s="290"/>
      <c r="BD118" s="328"/>
      <c r="BE118" s="330"/>
      <c r="BF118" s="390"/>
      <c r="BG118" s="328"/>
      <c r="BH118" s="328"/>
      <c r="BI118" s="330"/>
      <c r="BJ118" s="286"/>
      <c r="BK118" s="331"/>
      <c r="BL118" s="328"/>
      <c r="BM118" s="304"/>
      <c r="BN118" s="223"/>
      <c r="BO118" s="286"/>
      <c r="BP118" s="327"/>
      <c r="BQ118" s="328"/>
      <c r="BR118" s="330"/>
      <c r="BS118" s="390"/>
      <c r="BT118" s="328"/>
      <c r="BU118" s="328"/>
      <c r="BV118" s="330"/>
      <c r="BW118" s="286"/>
      <c r="BX118" s="331"/>
      <c r="BY118" s="328"/>
      <c r="BZ118" s="304"/>
      <c r="CA118" s="330"/>
      <c r="CB118" s="223" t="s">
        <v>525</v>
      </c>
      <c r="CC118" s="327"/>
      <c r="CD118" s="540"/>
      <c r="CE118" s="304"/>
      <c r="CF118" s="204"/>
      <c r="CG118" s="304"/>
      <c r="CH118" s="290"/>
      <c r="CI118" s="290" t="s">
        <v>536</v>
      </c>
      <c r="CJ118" s="330" t="s">
        <v>535</v>
      </c>
      <c r="CK118" s="331" t="s">
        <v>537</v>
      </c>
      <c r="CL118" s="328" t="s">
        <v>64</v>
      </c>
      <c r="CM118" s="330"/>
      <c r="CN118" s="304" t="s">
        <v>539</v>
      </c>
      <c r="CO118" s="358" t="s">
        <v>538</v>
      </c>
      <c r="CP118" s="480" t="s">
        <v>489</v>
      </c>
      <c r="CQ118" s="331"/>
      <c r="CR118" s="331"/>
      <c r="CS118" s="304"/>
      <c r="CT118" s="327"/>
      <c r="CU118" s="331"/>
      <c r="CV118" s="328"/>
      <c r="CW118" s="329"/>
      <c r="CX118" s="327"/>
      <c r="CY118" s="328"/>
      <c r="CZ118" s="328"/>
      <c r="DA118" s="330"/>
      <c r="DB118" s="286"/>
      <c r="DC118" s="327"/>
      <c r="DD118" s="331"/>
      <c r="DE118" s="328"/>
      <c r="DF118" s="329"/>
      <c r="DG118" s="327"/>
      <c r="DH118" s="331"/>
      <c r="DI118" s="328"/>
      <c r="DJ118" s="329"/>
      <c r="DK118" s="327"/>
      <c r="DL118" s="328"/>
      <c r="DM118" s="328"/>
      <c r="DN118" s="330"/>
      <c r="DO118" s="286"/>
      <c r="DP118" s="718"/>
    </row>
    <row r="119" spans="1:120" ht="12.75" hidden="1" customHeight="1" outlineLevel="1">
      <c r="A119" s="14"/>
      <c r="B119" s="654"/>
      <c r="C119" s="695"/>
      <c r="D119" s="696"/>
      <c r="E119" s="391"/>
      <c r="F119" s="225" t="s">
        <v>0</v>
      </c>
      <c r="G119" s="649"/>
      <c r="H119" s="484" t="s">
        <v>129</v>
      </c>
      <c r="I119" s="635"/>
      <c r="J119" s="642"/>
      <c r="K119" s="632"/>
      <c r="L119" s="630"/>
      <c r="M119" s="628"/>
      <c r="N119" s="628"/>
      <c r="O119" s="218"/>
      <c r="P119" s="242"/>
      <c r="Q119" s="242"/>
      <c r="R119" s="242"/>
      <c r="S119" s="244"/>
      <c r="T119" s="242"/>
      <c r="U119" s="242"/>
      <c r="V119" s="245"/>
      <c r="W119" s="244"/>
      <c r="X119" s="218"/>
      <c r="Y119" s="242"/>
      <c r="Z119" s="242"/>
      <c r="AA119" s="246"/>
      <c r="AB119" s="218"/>
      <c r="AC119" s="242"/>
      <c r="AD119" s="242"/>
      <c r="AE119" s="242"/>
      <c r="AF119" s="244"/>
      <c r="AG119" s="242"/>
      <c r="AH119" s="242"/>
      <c r="AI119" s="245"/>
      <c r="AJ119" s="244"/>
      <c r="AK119" s="218"/>
      <c r="AL119" s="242"/>
      <c r="AM119" s="242"/>
      <c r="AN119" s="246"/>
      <c r="AO119" s="218"/>
      <c r="AP119" s="242"/>
      <c r="AQ119" s="242"/>
      <c r="AR119" s="242"/>
      <c r="AS119" s="244"/>
      <c r="AT119" s="242"/>
      <c r="AU119" s="242"/>
      <c r="AV119" s="245"/>
      <c r="AW119" s="244"/>
      <c r="AX119" s="218"/>
      <c r="AY119" s="242"/>
      <c r="AZ119" s="242"/>
      <c r="BA119" s="246"/>
      <c r="BB119" s="218"/>
      <c r="BC119" s="242"/>
      <c r="BD119" s="242"/>
      <c r="BE119" s="242"/>
      <c r="BF119" s="244"/>
      <c r="BG119" s="242"/>
      <c r="BH119" s="242"/>
      <c r="BI119" s="245"/>
      <c r="BJ119" s="244"/>
      <c r="BK119" s="218"/>
      <c r="BL119" s="242"/>
      <c r="BM119" s="242"/>
      <c r="BN119" s="245"/>
      <c r="BO119" s="373"/>
      <c r="BP119" s="218"/>
      <c r="BQ119" s="242"/>
      <c r="BR119" s="242"/>
      <c r="BS119" s="244" t="s">
        <v>224</v>
      </c>
      <c r="BT119" s="242" t="s">
        <v>225</v>
      </c>
      <c r="BU119" s="242"/>
      <c r="BV119" s="245"/>
      <c r="BW119" s="244"/>
      <c r="BX119" s="218"/>
      <c r="BY119" s="242"/>
      <c r="BZ119" s="242" t="s">
        <v>217</v>
      </c>
      <c r="CA119" s="242"/>
      <c r="CB119" s="245"/>
      <c r="CC119" s="218"/>
      <c r="CD119" s="251"/>
      <c r="CE119" s="251"/>
      <c r="CF119" s="246"/>
      <c r="CG119" s="242"/>
      <c r="CH119" s="242" t="s">
        <v>226</v>
      </c>
      <c r="CI119" s="242"/>
      <c r="CJ119" s="245"/>
      <c r="CK119" s="218"/>
      <c r="CL119" s="242" t="s">
        <v>227</v>
      </c>
      <c r="CM119" s="242"/>
      <c r="CN119" s="245"/>
      <c r="CO119" s="373"/>
      <c r="CP119" s="218"/>
      <c r="CQ119" s="302" t="s">
        <v>101</v>
      </c>
      <c r="CR119" s="251" t="s">
        <v>219</v>
      </c>
      <c r="CS119" s="246"/>
      <c r="CT119" s="218"/>
      <c r="CU119" s="242"/>
      <c r="CV119" s="242" t="s">
        <v>228</v>
      </c>
      <c r="CW119" s="246"/>
      <c r="CX119" s="218"/>
      <c r="CY119" s="242"/>
      <c r="CZ119" s="242" t="s">
        <v>78</v>
      </c>
      <c r="DA119" s="245"/>
      <c r="DB119" s="373"/>
      <c r="DC119" s="218"/>
      <c r="DD119" s="242"/>
      <c r="DE119" s="242"/>
      <c r="DF119" s="246"/>
      <c r="DG119" s="218"/>
      <c r="DH119" s="242"/>
      <c r="DI119" s="242"/>
      <c r="DJ119" s="246"/>
      <c r="DK119" s="218"/>
      <c r="DL119" s="242"/>
      <c r="DM119" s="242"/>
      <c r="DN119" s="245"/>
      <c r="DO119" s="373"/>
      <c r="DP119" s="718"/>
    </row>
    <row r="120" spans="1:120" ht="12.75" hidden="1" customHeight="1" outlineLevel="1">
      <c r="A120" s="14"/>
      <c r="B120" s="654"/>
      <c r="C120" s="695"/>
      <c r="D120" s="696"/>
      <c r="E120" s="391"/>
      <c r="F120" s="225" t="s">
        <v>0</v>
      </c>
      <c r="G120" s="649"/>
      <c r="H120" s="484" t="s">
        <v>130</v>
      </c>
      <c r="I120" s="635"/>
      <c r="J120" s="642"/>
      <c r="K120" s="632"/>
      <c r="L120" s="630"/>
      <c r="M120" s="629"/>
      <c r="N120" s="628"/>
      <c r="O120" s="278"/>
      <c r="P120" s="279"/>
      <c r="Q120" s="279"/>
      <c r="R120" s="64"/>
      <c r="S120" s="243"/>
      <c r="T120" s="146"/>
      <c r="U120" s="72"/>
      <c r="V120" s="338"/>
      <c r="W120" s="277"/>
      <c r="X120" s="278"/>
      <c r="Y120" s="279"/>
      <c r="Z120" s="338"/>
      <c r="AA120" s="277"/>
      <c r="AB120" s="278"/>
      <c r="AC120" s="279"/>
      <c r="AD120" s="279"/>
      <c r="AE120" s="64"/>
      <c r="AF120" s="243"/>
      <c r="AG120" s="146"/>
      <c r="AH120" s="72"/>
      <c r="AI120" s="338"/>
      <c r="AJ120" s="277"/>
      <c r="AK120" s="278"/>
      <c r="AL120" s="279"/>
      <c r="AM120" s="338"/>
      <c r="AN120" s="277"/>
      <c r="AO120" s="278"/>
      <c r="AP120" s="279"/>
      <c r="AQ120" s="279"/>
      <c r="AR120" s="64"/>
      <c r="AS120" s="243"/>
      <c r="AT120" s="146"/>
      <c r="AU120" s="72"/>
      <c r="AV120" s="338"/>
      <c r="AW120" s="277"/>
      <c r="AX120" s="278"/>
      <c r="AY120" s="279"/>
      <c r="AZ120" s="338"/>
      <c r="BA120" s="277"/>
      <c r="BB120" s="278"/>
      <c r="BC120" s="279"/>
      <c r="BD120" s="279"/>
      <c r="BE120" s="64"/>
      <c r="BF120" s="243"/>
      <c r="BG120" s="146"/>
      <c r="BH120" s="72"/>
      <c r="BI120" s="338"/>
      <c r="BJ120" s="277"/>
      <c r="BK120" s="278"/>
      <c r="BL120" s="279"/>
      <c r="BM120" s="338"/>
      <c r="BN120" s="471"/>
      <c r="BO120" s="534"/>
      <c r="BP120" s="146"/>
      <c r="BQ120" s="279"/>
      <c r="BR120" s="64"/>
      <c r="BS120" s="243"/>
      <c r="BT120" s="146"/>
      <c r="BU120" s="72" t="s">
        <v>121</v>
      </c>
      <c r="BV120" s="338" t="s">
        <v>38</v>
      </c>
      <c r="BW120" s="277"/>
      <c r="BX120" s="278"/>
      <c r="BY120" s="279"/>
      <c r="BZ120" s="338"/>
      <c r="CA120" s="338" t="s">
        <v>162</v>
      </c>
      <c r="CB120" s="471"/>
      <c r="CC120" s="146"/>
      <c r="CD120" s="279"/>
      <c r="CE120" s="338" t="s">
        <v>162</v>
      </c>
      <c r="CF120" s="277"/>
      <c r="CG120" s="279"/>
      <c r="CH120" s="279"/>
      <c r="CI120" s="338" t="s">
        <v>171</v>
      </c>
      <c r="CJ120" s="322"/>
      <c r="CK120" s="278"/>
      <c r="CL120" s="279"/>
      <c r="CM120" s="338" t="s">
        <v>171</v>
      </c>
      <c r="CN120" s="247"/>
      <c r="CO120" s="534"/>
      <c r="CP120" s="146"/>
      <c r="CQ120" s="279"/>
      <c r="CR120" s="338" t="s">
        <v>171</v>
      </c>
      <c r="CS120" s="277"/>
      <c r="CT120" s="146"/>
      <c r="CU120" s="72"/>
      <c r="CV120" s="338" t="s">
        <v>171</v>
      </c>
      <c r="CW120" s="277"/>
      <c r="CX120" s="278"/>
      <c r="CY120" s="72"/>
      <c r="CZ120" s="338" t="s">
        <v>171</v>
      </c>
      <c r="DA120" s="247"/>
      <c r="DB120" s="534"/>
      <c r="DC120" s="146"/>
      <c r="DD120" s="72"/>
      <c r="DE120" s="338"/>
      <c r="DF120" s="277"/>
      <c r="DG120" s="146"/>
      <c r="DH120" s="72"/>
      <c r="DI120" s="338"/>
      <c r="DJ120" s="277"/>
      <c r="DK120" s="278"/>
      <c r="DL120" s="72"/>
      <c r="DM120" s="338"/>
      <c r="DN120" s="247"/>
      <c r="DO120" s="534"/>
      <c r="DP120" s="719"/>
    </row>
    <row r="121" spans="1:120" ht="12.75" hidden="1" customHeight="1" outlineLevel="1">
      <c r="A121" s="14"/>
      <c r="B121" s="654"/>
      <c r="C121" s="695"/>
      <c r="D121" s="696"/>
      <c r="E121" s="391"/>
      <c r="F121" s="225" t="s">
        <v>0</v>
      </c>
      <c r="G121" s="649"/>
      <c r="H121" s="484" t="s">
        <v>157</v>
      </c>
      <c r="I121" s="635"/>
      <c r="J121" s="642"/>
      <c r="K121" s="632"/>
      <c r="L121" s="630"/>
      <c r="M121" s="629"/>
      <c r="N121" s="628"/>
      <c r="O121" s="154"/>
      <c r="P121" s="153"/>
      <c r="Q121" s="153"/>
      <c r="R121" s="200"/>
      <c r="S121" s="248"/>
      <c r="T121" s="153"/>
      <c r="U121" s="153"/>
      <c r="V121" s="249"/>
      <c r="W121" s="248"/>
      <c r="X121" s="154"/>
      <c r="Y121" s="153"/>
      <c r="Z121" s="153"/>
      <c r="AA121" s="153"/>
      <c r="AB121" s="154"/>
      <c r="AC121" s="153"/>
      <c r="AD121" s="153"/>
      <c r="AE121" s="200"/>
      <c r="AF121" s="248"/>
      <c r="AG121" s="153"/>
      <c r="AH121" s="153"/>
      <c r="AI121" s="249"/>
      <c r="AJ121" s="248"/>
      <c r="AK121" s="154"/>
      <c r="AL121" s="153"/>
      <c r="AM121" s="153"/>
      <c r="AN121" s="153"/>
      <c r="AO121" s="154"/>
      <c r="AP121" s="153"/>
      <c r="AQ121" s="153"/>
      <c r="AR121" s="200"/>
      <c r="AS121" s="248"/>
      <c r="AT121" s="153"/>
      <c r="AU121" s="153"/>
      <c r="AV121" s="249"/>
      <c r="AW121" s="248"/>
      <c r="AX121" s="146"/>
      <c r="AY121" s="153"/>
      <c r="AZ121" s="153"/>
      <c r="BA121" s="250"/>
      <c r="BB121" s="146"/>
      <c r="BC121" s="153"/>
      <c r="BD121" s="153"/>
      <c r="BE121" s="200"/>
      <c r="BF121" s="248"/>
      <c r="BG121" s="153"/>
      <c r="BH121" s="153"/>
      <c r="BI121" s="249"/>
      <c r="BJ121" s="248"/>
      <c r="BK121" s="146"/>
      <c r="BL121" s="153"/>
      <c r="BM121" s="72"/>
      <c r="BN121" s="247"/>
      <c r="BO121" s="248"/>
      <c r="BP121" s="154"/>
      <c r="BQ121" s="153"/>
      <c r="BR121" s="200"/>
      <c r="BS121" s="248"/>
      <c r="BT121" s="153"/>
      <c r="BU121" s="153"/>
      <c r="BV121" s="249"/>
      <c r="BW121" s="248"/>
      <c r="BX121" s="146"/>
      <c r="BY121" s="153"/>
      <c r="BZ121" s="72"/>
      <c r="CA121" s="72"/>
      <c r="CB121" s="247"/>
      <c r="CC121" s="154"/>
      <c r="CD121" s="153"/>
      <c r="CE121" s="153"/>
      <c r="CF121" s="250"/>
      <c r="CG121" s="153"/>
      <c r="CH121" s="153"/>
      <c r="CI121" s="153"/>
      <c r="CJ121" s="249"/>
      <c r="CK121" s="146"/>
      <c r="CL121" s="153"/>
      <c r="CM121" s="72"/>
      <c r="CN121" s="247"/>
      <c r="CO121" s="248"/>
      <c r="CP121" s="154"/>
      <c r="CQ121" s="153"/>
      <c r="CR121" s="153"/>
      <c r="CS121" s="250"/>
      <c r="CT121" s="154"/>
      <c r="CU121" s="153" t="s">
        <v>160</v>
      </c>
      <c r="CV121" s="153" t="s">
        <v>152</v>
      </c>
      <c r="CW121" s="250"/>
      <c r="CX121" s="146"/>
      <c r="CY121" s="153"/>
      <c r="CZ121" s="72"/>
      <c r="DA121" s="247" t="s">
        <v>153</v>
      </c>
      <c r="DB121" s="248"/>
      <c r="DC121" s="154"/>
      <c r="DD121" s="153"/>
      <c r="DE121" s="153"/>
      <c r="DF121" s="250"/>
      <c r="DG121" s="154"/>
      <c r="DH121" s="153"/>
      <c r="DI121" s="153"/>
      <c r="DJ121" s="250"/>
      <c r="DK121" s="146"/>
      <c r="DL121" s="153"/>
      <c r="DM121" s="72"/>
      <c r="DN121" s="247"/>
      <c r="DO121" s="248"/>
      <c r="DP121" s="241"/>
    </row>
    <row r="122" spans="1:120" ht="12.75" hidden="1" customHeight="1" outlineLevel="1" thickBot="1">
      <c r="A122" s="14"/>
      <c r="B122" s="654"/>
      <c r="C122" s="697"/>
      <c r="D122" s="698"/>
      <c r="E122" s="391"/>
      <c r="F122" s="225" t="s">
        <v>0</v>
      </c>
      <c r="G122" s="653"/>
      <c r="H122" s="485" t="s">
        <v>39</v>
      </c>
      <c r="I122" s="104"/>
      <c r="J122" s="105"/>
      <c r="K122" s="106"/>
      <c r="L122" s="127"/>
      <c r="M122" s="442"/>
      <c r="N122" s="442"/>
      <c r="O122" s="130"/>
      <c r="P122" s="89"/>
      <c r="Q122" s="147"/>
      <c r="R122" s="180"/>
      <c r="S122" s="191"/>
      <c r="T122" s="89"/>
      <c r="U122" s="369"/>
      <c r="V122" s="180"/>
      <c r="W122" s="191"/>
      <c r="X122" s="130"/>
      <c r="Y122" s="89"/>
      <c r="Z122" s="86"/>
      <c r="AA122" s="89"/>
      <c r="AB122" s="130"/>
      <c r="AC122" s="89"/>
      <c r="AD122" s="147"/>
      <c r="AE122" s="180"/>
      <c r="AF122" s="191"/>
      <c r="AG122" s="89"/>
      <c r="AH122" s="369"/>
      <c r="AI122" s="180"/>
      <c r="AJ122" s="191"/>
      <c r="AK122" s="130"/>
      <c r="AL122" s="89"/>
      <c r="AM122" s="86"/>
      <c r="AN122" s="89"/>
      <c r="AO122" s="130"/>
      <c r="AP122" s="89"/>
      <c r="AQ122" s="147"/>
      <c r="AR122" s="180"/>
      <c r="AS122" s="191"/>
      <c r="AT122" s="89"/>
      <c r="AU122" s="369"/>
      <c r="AV122" s="180"/>
      <c r="AW122" s="191"/>
      <c r="AX122" s="85"/>
      <c r="AY122" s="86"/>
      <c r="AZ122" s="89"/>
      <c r="BA122" s="180"/>
      <c r="BB122" s="130"/>
      <c r="BC122" s="89"/>
      <c r="BD122" s="147"/>
      <c r="BE122" s="180"/>
      <c r="BF122" s="191"/>
      <c r="BG122" s="89"/>
      <c r="BH122" s="369"/>
      <c r="BI122" s="180"/>
      <c r="BJ122" s="191"/>
      <c r="BK122" s="130"/>
      <c r="BL122" s="89"/>
      <c r="BM122" s="147"/>
      <c r="BN122" s="147"/>
      <c r="BO122" s="180"/>
      <c r="BP122" s="85"/>
      <c r="BQ122" s="147"/>
      <c r="BR122" s="180" t="s">
        <v>41</v>
      </c>
      <c r="BS122" s="191" t="s">
        <v>106</v>
      </c>
      <c r="BT122" s="89" t="s">
        <v>44</v>
      </c>
      <c r="BU122" s="369" t="s">
        <v>293</v>
      </c>
      <c r="BV122" s="180"/>
      <c r="BW122" s="191" t="s">
        <v>146</v>
      </c>
      <c r="BX122" s="130"/>
      <c r="BY122" s="89"/>
      <c r="BZ122" s="147"/>
      <c r="CA122" s="147"/>
      <c r="CB122" s="621"/>
      <c r="CC122" s="85"/>
      <c r="CD122" s="147"/>
      <c r="CE122" s="89"/>
      <c r="CF122" s="88"/>
      <c r="CG122" s="89"/>
      <c r="CH122" s="86"/>
      <c r="CI122" s="89"/>
      <c r="CJ122" s="180"/>
      <c r="CK122" s="130"/>
      <c r="CL122" s="89"/>
      <c r="CM122" s="147"/>
      <c r="CN122" s="147"/>
      <c r="CO122" s="88"/>
      <c r="CP122" s="85"/>
      <c r="CQ122" s="147" t="s">
        <v>154</v>
      </c>
      <c r="CR122" s="89"/>
      <c r="CS122" s="88"/>
      <c r="CT122" s="85"/>
      <c r="CU122" s="86"/>
      <c r="CV122" s="89"/>
      <c r="CW122" s="88"/>
      <c r="CX122" s="130"/>
      <c r="CY122" s="89"/>
      <c r="CZ122" s="147"/>
      <c r="DA122" s="147"/>
      <c r="DB122" s="88"/>
      <c r="DC122" s="85"/>
      <c r="DD122" s="86"/>
      <c r="DE122" s="89"/>
      <c r="DF122" s="88"/>
      <c r="DG122" s="85"/>
      <c r="DH122" s="86"/>
      <c r="DI122" s="89"/>
      <c r="DJ122" s="88"/>
      <c r="DK122" s="130"/>
      <c r="DL122" s="89"/>
      <c r="DM122" s="147"/>
      <c r="DN122" s="371"/>
      <c r="DO122" s="192"/>
      <c r="DP122" s="93" t="s">
        <v>158</v>
      </c>
    </row>
    <row r="123" spans="1:120" ht="12.75" hidden="1" customHeight="1" outlineLevel="1">
      <c r="A123" s="14"/>
      <c r="B123" s="654"/>
      <c r="C123" s="688"/>
      <c r="D123" s="689"/>
      <c r="E123" s="391"/>
      <c r="F123" s="55" t="s">
        <v>81</v>
      </c>
      <c r="G123" s="662"/>
      <c r="H123" s="430" t="s">
        <v>238</v>
      </c>
      <c r="I123" s="646"/>
      <c r="J123" s="633"/>
      <c r="K123" s="670"/>
      <c r="L123" s="644"/>
      <c r="M123" s="443"/>
      <c r="N123" s="443"/>
      <c r="O123" s="71"/>
      <c r="P123" s="69"/>
      <c r="Q123" s="70"/>
      <c r="R123" s="70"/>
      <c r="S123" s="68"/>
      <c r="T123" s="71"/>
      <c r="U123" s="69"/>
      <c r="V123" s="70"/>
      <c r="W123" s="68"/>
      <c r="X123" s="71"/>
      <c r="Y123" s="69"/>
      <c r="Z123" s="70"/>
      <c r="AA123" s="70"/>
      <c r="AB123" s="71"/>
      <c r="AC123" s="69"/>
      <c r="AD123" s="70"/>
      <c r="AE123" s="70"/>
      <c r="AF123" s="68"/>
      <c r="AG123" s="71"/>
      <c r="AH123" s="69"/>
      <c r="AI123" s="70"/>
      <c r="AJ123" s="68"/>
      <c r="AK123" s="71"/>
      <c r="AL123" s="69"/>
      <c r="AM123" s="69"/>
      <c r="AN123" s="70"/>
      <c r="AO123" s="71"/>
      <c r="AP123" s="205"/>
      <c r="AQ123" s="69"/>
      <c r="AR123" s="70"/>
      <c r="AS123" s="68"/>
      <c r="AT123" s="71"/>
      <c r="AU123" s="69"/>
      <c r="AV123" s="69"/>
      <c r="AW123" s="68"/>
      <c r="AX123" s="71"/>
      <c r="AY123" s="69"/>
      <c r="AZ123" s="70"/>
      <c r="BA123" s="70"/>
      <c r="BB123" s="71"/>
      <c r="BC123" s="69"/>
      <c r="BD123" s="70"/>
      <c r="BE123" s="70"/>
      <c r="BF123" s="68"/>
      <c r="BG123" s="71"/>
      <c r="BH123" s="69"/>
      <c r="BI123" s="70"/>
      <c r="BJ123" s="66"/>
      <c r="BK123" s="71"/>
      <c r="BL123" s="69"/>
      <c r="BM123" s="70"/>
      <c r="BN123" s="70"/>
      <c r="BO123" s="66"/>
      <c r="BP123" s="71"/>
      <c r="BQ123" s="69"/>
      <c r="BR123" s="70"/>
      <c r="BS123" s="68"/>
      <c r="BT123" s="71"/>
      <c r="BU123" s="69"/>
      <c r="BV123" s="70"/>
      <c r="BW123" s="66"/>
      <c r="BX123" s="71"/>
      <c r="BY123" s="69"/>
      <c r="BZ123" s="70"/>
      <c r="CA123" s="70"/>
      <c r="CB123" s="66"/>
      <c r="CC123" s="71"/>
      <c r="CD123" s="69"/>
      <c r="CE123" s="70"/>
      <c r="CF123" s="68"/>
      <c r="CG123" s="70"/>
      <c r="CH123" s="69"/>
      <c r="CI123" s="70"/>
      <c r="CJ123" s="66"/>
      <c r="CK123" s="71"/>
      <c r="CL123" s="69"/>
      <c r="CM123" s="70"/>
      <c r="CN123" s="70"/>
      <c r="CO123" s="68"/>
      <c r="CP123" s="71"/>
      <c r="CQ123" s="69"/>
      <c r="CR123" s="70"/>
      <c r="CS123" s="66"/>
      <c r="CT123" s="71"/>
      <c r="CU123" s="69"/>
      <c r="CV123" s="70"/>
      <c r="CW123" s="66"/>
      <c r="CX123" s="71"/>
      <c r="CY123" s="69"/>
      <c r="CZ123" s="70"/>
      <c r="DA123" s="70"/>
      <c r="DB123" s="68"/>
      <c r="DC123" s="71"/>
      <c r="DD123" s="69"/>
      <c r="DE123" s="70"/>
      <c r="DF123" s="66"/>
      <c r="DG123" s="71"/>
      <c r="DH123" s="69"/>
      <c r="DI123" s="70"/>
      <c r="DJ123" s="66"/>
      <c r="DK123" s="71"/>
      <c r="DL123" s="69"/>
      <c r="DM123" s="70"/>
      <c r="DN123" s="66"/>
      <c r="DO123" s="612"/>
      <c r="DP123" s="112"/>
    </row>
    <row r="124" spans="1:120" ht="12.75" hidden="1" customHeight="1" outlineLevel="1" thickBot="1">
      <c r="A124" s="14"/>
      <c r="B124" s="655"/>
      <c r="C124" s="690"/>
      <c r="D124" s="690"/>
      <c r="E124" s="392"/>
      <c r="F124" s="225" t="s">
        <v>0</v>
      </c>
      <c r="G124" s="663"/>
      <c r="H124" s="431" t="s">
        <v>237</v>
      </c>
      <c r="I124" s="647"/>
      <c r="J124" s="634"/>
      <c r="K124" s="671"/>
      <c r="L124" s="645"/>
      <c r="M124" s="444"/>
      <c r="N124" s="444"/>
      <c r="O124" s="98"/>
      <c r="P124" s="97"/>
      <c r="Q124" s="96"/>
      <c r="R124" s="96"/>
      <c r="S124" s="99"/>
      <c r="T124" s="98"/>
      <c r="U124" s="97"/>
      <c r="V124" s="96"/>
      <c r="W124" s="99"/>
      <c r="X124" s="98"/>
      <c r="Y124" s="97"/>
      <c r="Z124" s="96"/>
      <c r="AA124" s="96"/>
      <c r="AB124" s="98"/>
      <c r="AC124" s="97"/>
      <c r="AD124" s="96"/>
      <c r="AE124" s="96"/>
      <c r="AF124" s="99"/>
      <c r="AG124" s="98"/>
      <c r="AH124" s="97"/>
      <c r="AI124" s="96"/>
      <c r="AJ124" s="99"/>
      <c r="AK124" s="98"/>
      <c r="AL124" s="97"/>
      <c r="AM124" s="165"/>
      <c r="AN124" s="96"/>
      <c r="AO124" s="98"/>
      <c r="AP124" s="97"/>
      <c r="AQ124" s="96"/>
      <c r="AR124" s="96"/>
      <c r="AS124" s="99"/>
      <c r="AT124" s="98"/>
      <c r="AU124" s="97"/>
      <c r="AV124" s="96"/>
      <c r="AW124" s="99"/>
      <c r="AX124" s="98"/>
      <c r="AY124" s="97"/>
      <c r="AZ124" s="96"/>
      <c r="BA124" s="96"/>
      <c r="BB124" s="98"/>
      <c r="BC124" s="97"/>
      <c r="BD124" s="96"/>
      <c r="BE124" s="96"/>
      <c r="BF124" s="99"/>
      <c r="BG124" s="98"/>
      <c r="BH124" s="97"/>
      <c r="BI124" s="96"/>
      <c r="BJ124" s="175"/>
      <c r="BK124" s="98"/>
      <c r="BL124" s="97"/>
      <c r="BM124" s="96"/>
      <c r="BN124" s="96"/>
      <c r="BO124" s="175"/>
      <c r="BP124" s="98"/>
      <c r="BQ124" s="97"/>
      <c r="BR124" s="96"/>
      <c r="BS124" s="99"/>
      <c r="BT124" s="98"/>
      <c r="BU124" s="97"/>
      <c r="BV124" s="96"/>
      <c r="BW124" s="175"/>
      <c r="BX124" s="98"/>
      <c r="BY124" s="97"/>
      <c r="BZ124" s="96"/>
      <c r="CA124" s="96"/>
      <c r="CB124" s="175"/>
      <c r="CC124" s="98"/>
      <c r="CD124" s="97"/>
      <c r="CE124" s="96"/>
      <c r="CF124" s="99"/>
      <c r="CG124" s="96"/>
      <c r="CH124" s="97"/>
      <c r="CI124" s="96"/>
      <c r="CJ124" s="175"/>
      <c r="CK124" s="98"/>
      <c r="CL124" s="97"/>
      <c r="CM124" s="96"/>
      <c r="CN124" s="96"/>
      <c r="CO124" s="99"/>
      <c r="CP124" s="98"/>
      <c r="CQ124" s="97"/>
      <c r="CR124" s="96"/>
      <c r="CS124" s="175"/>
      <c r="CT124" s="98"/>
      <c r="CU124" s="97"/>
      <c r="CV124" s="96"/>
      <c r="CW124" s="175"/>
      <c r="CX124" s="98"/>
      <c r="CY124" s="97"/>
      <c r="CZ124" s="96"/>
      <c r="DA124" s="96"/>
      <c r="DB124" s="99"/>
      <c r="DC124" s="98"/>
      <c r="DD124" s="97"/>
      <c r="DE124" s="96"/>
      <c r="DF124" s="175"/>
      <c r="DG124" s="98"/>
      <c r="DH124" s="97"/>
      <c r="DI124" s="96"/>
      <c r="DJ124" s="175"/>
      <c r="DK124" s="98"/>
      <c r="DL124" s="97"/>
      <c r="DM124" s="96"/>
      <c r="DN124" s="96"/>
      <c r="DO124" s="99"/>
      <c r="DP124" s="100"/>
    </row>
    <row r="125" spans="1:120" ht="12.75" customHeight="1" thickBot="1">
      <c r="A125" s="1"/>
      <c r="B125" s="1"/>
      <c r="C125" s="76"/>
      <c r="D125" s="82"/>
      <c r="E125" s="82"/>
      <c r="F125" s="82"/>
      <c r="G125" s="82"/>
      <c r="H125" s="122"/>
      <c r="I125" s="211"/>
      <c r="J125" s="211"/>
      <c r="K125" s="211"/>
      <c r="L125" s="17"/>
      <c r="M125" s="449"/>
      <c r="N125" s="449"/>
      <c r="O125" s="410"/>
      <c r="P125" s="411"/>
      <c r="Q125" s="411"/>
      <c r="R125" s="411"/>
      <c r="S125" s="412"/>
      <c r="T125" s="410"/>
      <c r="U125" s="411"/>
      <c r="V125" s="411"/>
      <c r="W125" s="412"/>
      <c r="X125" s="410"/>
      <c r="Y125" s="411"/>
      <c r="Z125" s="411"/>
      <c r="AA125" s="411"/>
      <c r="AB125" s="410"/>
      <c r="AC125" s="411"/>
      <c r="AD125" s="411"/>
      <c r="AE125" s="411"/>
      <c r="AF125" s="412"/>
      <c r="AG125" s="410"/>
      <c r="AH125" s="411"/>
      <c r="AI125" s="411"/>
      <c r="AJ125" s="412"/>
      <c r="AK125" s="410"/>
      <c r="AL125" s="411"/>
      <c r="AM125" s="411"/>
      <c r="AN125" s="412"/>
      <c r="AO125" s="410"/>
      <c r="AP125" s="411"/>
      <c r="AQ125" s="411"/>
      <c r="AR125" s="411"/>
      <c r="AS125" s="412"/>
      <c r="AT125" s="410"/>
      <c r="AU125" s="411"/>
      <c r="AV125" s="411"/>
      <c r="AW125" s="412"/>
      <c r="AX125" s="410"/>
      <c r="AY125" s="411"/>
      <c r="AZ125" s="411"/>
      <c r="BA125" s="412"/>
      <c r="BB125" s="410"/>
      <c r="BC125" s="411"/>
      <c r="BD125" s="411"/>
      <c r="BE125" s="411"/>
      <c r="BF125" s="412"/>
      <c r="BG125" s="410"/>
      <c r="BH125" s="411"/>
      <c r="BI125" s="411"/>
      <c r="BJ125" s="412"/>
      <c r="BK125" s="410"/>
      <c r="BL125" s="411"/>
      <c r="BM125" s="411"/>
      <c r="BN125" s="411"/>
      <c r="BO125" s="412"/>
      <c r="BP125" s="410"/>
      <c r="BQ125" s="411"/>
      <c r="BR125" s="411"/>
      <c r="BS125" s="412"/>
      <c r="BT125" s="410"/>
      <c r="BU125" s="411"/>
      <c r="BV125" s="411"/>
      <c r="BW125" s="412"/>
      <c r="BX125" s="410"/>
      <c r="BY125" s="411"/>
      <c r="BZ125" s="411"/>
      <c r="CA125" s="411"/>
      <c r="CB125" s="411"/>
      <c r="CC125" s="410"/>
      <c r="CD125" s="411"/>
      <c r="CE125" s="411"/>
      <c r="CF125" s="412"/>
      <c r="CG125" s="411"/>
      <c r="CH125" s="411"/>
      <c r="CI125" s="411"/>
      <c r="CJ125" s="412"/>
      <c r="CK125" s="410"/>
      <c r="CL125" s="411"/>
      <c r="CM125" s="411"/>
      <c r="CN125" s="411"/>
      <c r="CO125" s="412"/>
      <c r="CP125" s="410"/>
      <c r="CQ125" s="411"/>
      <c r="CR125" s="411"/>
      <c r="CS125" s="412"/>
      <c r="CT125" s="410"/>
      <c r="CU125" s="411"/>
      <c r="CV125" s="411"/>
      <c r="CW125" s="412"/>
      <c r="CX125" s="410"/>
      <c r="CY125" s="411"/>
      <c r="CZ125" s="411"/>
      <c r="DA125" s="411"/>
      <c r="DB125" s="412"/>
      <c r="DC125" s="410"/>
      <c r="DD125" s="411"/>
      <c r="DE125" s="411"/>
      <c r="DF125" s="412"/>
      <c r="DG125" s="410"/>
      <c r="DH125" s="411"/>
      <c r="DI125" s="411"/>
      <c r="DJ125" s="412"/>
      <c r="DK125" s="410"/>
      <c r="DL125" s="411"/>
      <c r="DM125" s="411"/>
      <c r="DN125" s="411"/>
      <c r="DO125" s="412"/>
      <c r="DP125" s="18"/>
    </row>
    <row r="126" spans="1:120" ht="21" customHeight="1" thickBot="1">
      <c r="F126" s="2"/>
      <c r="G126" s="2"/>
      <c r="H126" s="19"/>
      <c r="I126" s="170"/>
      <c r="J126" s="170"/>
      <c r="K126" s="170"/>
      <c r="L126" s="170"/>
      <c r="M126" s="450"/>
      <c r="N126" s="450"/>
      <c r="O126" s="362">
        <v>40</v>
      </c>
      <c r="P126" s="364">
        <v>41</v>
      </c>
      <c r="Q126" s="366">
        <v>42</v>
      </c>
      <c r="R126" s="364">
        <v>43</v>
      </c>
      <c r="S126" s="365">
        <v>44</v>
      </c>
      <c r="T126" s="367">
        <v>45</v>
      </c>
      <c r="U126" s="366">
        <v>46</v>
      </c>
      <c r="V126" s="364">
        <v>47</v>
      </c>
      <c r="W126" s="365">
        <v>48</v>
      </c>
      <c r="X126" s="367">
        <v>49</v>
      </c>
      <c r="Y126" s="366">
        <v>50</v>
      </c>
      <c r="Z126" s="364">
        <v>51</v>
      </c>
      <c r="AA126" s="366">
        <v>52</v>
      </c>
      <c r="AB126" s="375">
        <v>1</v>
      </c>
      <c r="AC126" s="366">
        <v>2</v>
      </c>
      <c r="AD126" s="366">
        <v>3</v>
      </c>
      <c r="AE126" s="366">
        <v>4</v>
      </c>
      <c r="AF126" s="365">
        <v>5</v>
      </c>
      <c r="AG126" s="362">
        <v>6</v>
      </c>
      <c r="AH126" s="366">
        <v>7</v>
      </c>
      <c r="AI126" s="366">
        <v>8</v>
      </c>
      <c r="AJ126" s="365">
        <v>9</v>
      </c>
      <c r="AK126" s="362">
        <v>10</v>
      </c>
      <c r="AL126" s="366">
        <v>11</v>
      </c>
      <c r="AM126" s="366">
        <v>12</v>
      </c>
      <c r="AN126" s="365">
        <v>13</v>
      </c>
      <c r="AO126" s="3">
        <v>14</v>
      </c>
      <c r="AP126" s="433">
        <v>15</v>
      </c>
      <c r="AQ126" s="363">
        <v>16</v>
      </c>
      <c r="AR126" s="366">
        <v>17</v>
      </c>
      <c r="AS126" s="365">
        <v>18</v>
      </c>
      <c r="AT126" s="362">
        <v>19</v>
      </c>
      <c r="AU126" s="366">
        <v>20</v>
      </c>
      <c r="AV126" s="366">
        <v>21</v>
      </c>
      <c r="AW126" s="370">
        <v>22</v>
      </c>
      <c r="AX126" s="362">
        <v>23</v>
      </c>
      <c r="AY126" s="366">
        <v>24</v>
      </c>
      <c r="AZ126" s="366">
        <v>25</v>
      </c>
      <c r="BA126" s="365">
        <v>26</v>
      </c>
      <c r="BB126" s="3">
        <v>27</v>
      </c>
      <c r="BC126" s="4">
        <v>28</v>
      </c>
      <c r="BD126" s="4">
        <v>29</v>
      </c>
      <c r="BE126" s="4">
        <v>30</v>
      </c>
      <c r="BF126" s="206">
        <v>31</v>
      </c>
      <c r="BG126" s="3">
        <v>32</v>
      </c>
      <c r="BH126" s="4">
        <v>33</v>
      </c>
      <c r="BI126" s="4">
        <v>34</v>
      </c>
      <c r="BJ126" s="440">
        <v>35</v>
      </c>
      <c r="BK126" s="3">
        <v>36</v>
      </c>
      <c r="BL126" s="4">
        <v>37</v>
      </c>
      <c r="BM126" s="4">
        <v>38</v>
      </c>
      <c r="BN126" s="4">
        <v>39</v>
      </c>
      <c r="BO126" s="206">
        <v>40</v>
      </c>
      <c r="BP126" s="3">
        <v>41</v>
      </c>
      <c r="BQ126" s="4">
        <v>42</v>
      </c>
      <c r="BR126" s="4">
        <v>43</v>
      </c>
      <c r="BS126" s="440">
        <v>44</v>
      </c>
      <c r="BT126" s="3">
        <v>45</v>
      </c>
      <c r="BU126" s="4">
        <v>46</v>
      </c>
      <c r="BV126" s="4">
        <v>47</v>
      </c>
      <c r="BW126" s="440">
        <v>48</v>
      </c>
      <c r="BX126" s="3">
        <v>49</v>
      </c>
      <c r="BY126" s="4">
        <v>50</v>
      </c>
      <c r="BZ126" s="4">
        <v>51</v>
      </c>
      <c r="CA126" s="440">
        <v>52</v>
      </c>
      <c r="CB126" s="206">
        <v>1</v>
      </c>
      <c r="CC126" s="3">
        <v>2</v>
      </c>
      <c r="CD126" s="4">
        <v>3</v>
      </c>
      <c r="CE126" s="4">
        <v>4</v>
      </c>
      <c r="CF126" s="206">
        <v>5</v>
      </c>
      <c r="CG126" s="618">
        <v>6</v>
      </c>
      <c r="CH126" s="4">
        <v>7</v>
      </c>
      <c r="CI126" s="4">
        <v>8</v>
      </c>
      <c r="CJ126" s="440">
        <v>9</v>
      </c>
      <c r="CK126" s="3">
        <v>10</v>
      </c>
      <c r="CL126" s="4">
        <v>11</v>
      </c>
      <c r="CM126" s="4">
        <v>12</v>
      </c>
      <c r="CN126" s="4">
        <v>13</v>
      </c>
      <c r="CO126" s="206">
        <v>14</v>
      </c>
      <c r="CP126" s="3">
        <v>15</v>
      </c>
      <c r="CQ126" s="4">
        <v>16</v>
      </c>
      <c r="CR126" s="4">
        <v>17</v>
      </c>
      <c r="CS126" s="440">
        <v>18</v>
      </c>
      <c r="CT126" s="3">
        <v>19</v>
      </c>
      <c r="CU126" s="4">
        <v>20</v>
      </c>
      <c r="CV126" s="4">
        <v>21</v>
      </c>
      <c r="CW126" s="440">
        <v>22</v>
      </c>
      <c r="CX126" s="3">
        <v>23</v>
      </c>
      <c r="CY126" s="4">
        <v>24</v>
      </c>
      <c r="CZ126" s="4">
        <v>25</v>
      </c>
      <c r="DA126" s="4">
        <v>26</v>
      </c>
      <c r="DB126" s="206">
        <v>27</v>
      </c>
      <c r="DC126" s="3">
        <v>28</v>
      </c>
      <c r="DD126" s="4">
        <v>29</v>
      </c>
      <c r="DE126" s="4">
        <v>30</v>
      </c>
      <c r="DF126" s="440">
        <v>31</v>
      </c>
      <c r="DG126" s="3">
        <v>32</v>
      </c>
      <c r="DH126" s="4">
        <v>33</v>
      </c>
      <c r="DI126" s="4">
        <v>34</v>
      </c>
      <c r="DJ126" s="440">
        <v>35</v>
      </c>
      <c r="DK126" s="3">
        <v>36</v>
      </c>
      <c r="DL126" s="4">
        <v>37</v>
      </c>
      <c r="DM126" s="4">
        <v>38</v>
      </c>
      <c r="DN126" s="4">
        <v>39</v>
      </c>
      <c r="DO126" s="206">
        <v>40</v>
      </c>
    </row>
    <row r="127" spans="1:120" ht="12.75" customHeight="1" thickBot="1">
      <c r="F127" s="33"/>
      <c r="G127" s="33"/>
      <c r="H127" s="123"/>
      <c r="I127" s="170"/>
      <c r="J127" s="170"/>
      <c r="K127" s="170"/>
      <c r="L127" s="170"/>
      <c r="M127" s="450"/>
      <c r="N127" s="450"/>
      <c r="O127" s="712" t="s">
        <v>4</v>
      </c>
      <c r="P127" s="713"/>
      <c r="Q127" s="713"/>
      <c r="R127" s="713"/>
      <c r="S127" s="714"/>
      <c r="T127" s="712" t="s">
        <v>5</v>
      </c>
      <c r="U127" s="713"/>
      <c r="V127" s="713"/>
      <c r="W127" s="714"/>
      <c r="X127" s="712" t="s">
        <v>6</v>
      </c>
      <c r="Y127" s="713"/>
      <c r="Z127" s="713"/>
      <c r="AA127" s="713"/>
      <c r="AB127" s="721" t="s">
        <v>22</v>
      </c>
      <c r="AC127" s="722"/>
      <c r="AD127" s="722"/>
      <c r="AE127" s="722"/>
      <c r="AF127" s="723"/>
      <c r="AG127" s="721" t="s">
        <v>132</v>
      </c>
      <c r="AH127" s="722"/>
      <c r="AI127" s="722"/>
      <c r="AJ127" s="723"/>
      <c r="AK127" s="721" t="s">
        <v>8</v>
      </c>
      <c r="AL127" s="722"/>
      <c r="AM127" s="722"/>
      <c r="AN127" s="723"/>
      <c r="AO127" s="712" t="s">
        <v>9</v>
      </c>
      <c r="AP127" s="713"/>
      <c r="AQ127" s="713"/>
      <c r="AR127" s="713"/>
      <c r="AS127" s="714"/>
      <c r="AT127" s="712" t="s">
        <v>10</v>
      </c>
      <c r="AU127" s="713"/>
      <c r="AV127" s="713"/>
      <c r="AW127" s="713"/>
      <c r="AX127" s="712" t="s">
        <v>11</v>
      </c>
      <c r="AY127" s="713"/>
      <c r="AZ127" s="713"/>
      <c r="BA127" s="714"/>
      <c r="BB127" s="712" t="s">
        <v>12</v>
      </c>
      <c r="BC127" s="713"/>
      <c r="BD127" s="713"/>
      <c r="BE127" s="713"/>
      <c r="BF127" s="714"/>
      <c r="BG127" s="712" t="s">
        <v>13</v>
      </c>
      <c r="BH127" s="713"/>
      <c r="BI127" s="713"/>
      <c r="BJ127" s="713"/>
      <c r="BK127" s="712" t="s">
        <v>244</v>
      </c>
      <c r="BL127" s="713"/>
      <c r="BM127" s="713"/>
      <c r="BN127" s="713"/>
      <c r="BO127" s="714"/>
      <c r="BP127" s="712" t="s">
        <v>4</v>
      </c>
      <c r="BQ127" s="713"/>
      <c r="BR127" s="713"/>
      <c r="BS127" s="713"/>
      <c r="BT127" s="712" t="s">
        <v>5</v>
      </c>
      <c r="BU127" s="713"/>
      <c r="BV127" s="713"/>
      <c r="BW127" s="713"/>
      <c r="BX127" s="712" t="s">
        <v>6</v>
      </c>
      <c r="BY127" s="713"/>
      <c r="BZ127" s="713"/>
      <c r="CA127" s="713"/>
      <c r="CB127" s="714"/>
      <c r="CC127" s="712" t="s">
        <v>22</v>
      </c>
      <c r="CD127" s="713"/>
      <c r="CE127" s="713"/>
      <c r="CF127" s="714"/>
      <c r="CG127" s="713" t="s">
        <v>132</v>
      </c>
      <c r="CH127" s="713"/>
      <c r="CI127" s="713"/>
      <c r="CJ127" s="713"/>
      <c r="CK127" s="712" t="s">
        <v>8</v>
      </c>
      <c r="CL127" s="713"/>
      <c r="CM127" s="713"/>
      <c r="CN127" s="713"/>
      <c r="CO127" s="714"/>
      <c r="CP127" s="712" t="s">
        <v>9</v>
      </c>
      <c r="CQ127" s="713"/>
      <c r="CR127" s="713"/>
      <c r="CS127" s="713"/>
      <c r="CT127" s="712" t="s">
        <v>10</v>
      </c>
      <c r="CU127" s="713"/>
      <c r="CV127" s="713"/>
      <c r="CW127" s="713"/>
      <c r="CX127" s="712" t="s">
        <v>11</v>
      </c>
      <c r="CY127" s="713"/>
      <c r="CZ127" s="713"/>
      <c r="DA127" s="713"/>
      <c r="DB127" s="714"/>
      <c r="DC127" s="712" t="s">
        <v>12</v>
      </c>
      <c r="DD127" s="713"/>
      <c r="DE127" s="713"/>
      <c r="DF127" s="713"/>
      <c r="DG127" s="712" t="s">
        <v>13</v>
      </c>
      <c r="DH127" s="713"/>
      <c r="DI127" s="713"/>
      <c r="DJ127" s="713"/>
      <c r="DK127" s="712" t="s">
        <v>3</v>
      </c>
      <c r="DL127" s="713"/>
      <c r="DM127" s="713"/>
      <c r="DN127" s="713"/>
      <c r="DO127" s="714"/>
    </row>
    <row r="128" spans="1:120" ht="15.75" thickBot="1">
      <c r="D128" s="400"/>
      <c r="F128" s="33"/>
      <c r="G128" s="33"/>
      <c r="H128" s="19"/>
      <c r="I128" s="170"/>
      <c r="J128" s="170"/>
      <c r="K128" s="170"/>
      <c r="L128" s="170"/>
      <c r="M128" s="450"/>
      <c r="N128" s="450"/>
      <c r="O128" s="711" t="s">
        <v>181</v>
      </c>
      <c r="P128" s="709"/>
      <c r="Q128" s="709"/>
      <c r="R128" s="709"/>
      <c r="S128" s="709"/>
      <c r="T128" s="709"/>
      <c r="U128" s="709"/>
      <c r="V128" s="709"/>
      <c r="W128" s="709"/>
      <c r="X128" s="709"/>
      <c r="Y128" s="709"/>
      <c r="Z128" s="709"/>
      <c r="AA128" s="710"/>
      <c r="AB128" s="711" t="s">
        <v>245</v>
      </c>
      <c r="AC128" s="709"/>
      <c r="AD128" s="709"/>
      <c r="AE128" s="709"/>
      <c r="AF128" s="709"/>
      <c r="AG128" s="709"/>
      <c r="AH128" s="709"/>
      <c r="AI128" s="709"/>
      <c r="AJ128" s="709"/>
      <c r="AK128" s="709"/>
      <c r="AL128" s="709"/>
      <c r="AM128" s="709"/>
      <c r="AN128" s="710"/>
      <c r="AO128" s="711" t="s">
        <v>245</v>
      </c>
      <c r="AP128" s="709"/>
      <c r="AQ128" s="709"/>
      <c r="AR128" s="709"/>
      <c r="AS128" s="709"/>
      <c r="AT128" s="709"/>
      <c r="AU128" s="709"/>
      <c r="AV128" s="709"/>
      <c r="AW128" s="709"/>
      <c r="AX128" s="709"/>
      <c r="AY128" s="709"/>
      <c r="AZ128" s="709"/>
      <c r="BA128" s="710"/>
      <c r="BB128" s="711" t="s">
        <v>245</v>
      </c>
      <c r="BC128" s="709"/>
      <c r="BD128" s="709"/>
      <c r="BE128" s="709"/>
      <c r="BF128" s="709"/>
      <c r="BG128" s="709"/>
      <c r="BH128" s="709"/>
      <c r="BI128" s="709"/>
      <c r="BJ128" s="709"/>
      <c r="BK128" s="709"/>
      <c r="BL128" s="709"/>
      <c r="BM128" s="709"/>
      <c r="BN128" s="709"/>
      <c r="BO128" s="710"/>
      <c r="BP128" s="711" t="s">
        <v>245</v>
      </c>
      <c r="BQ128" s="709"/>
      <c r="BR128" s="709"/>
      <c r="BS128" s="709"/>
      <c r="BT128" s="709"/>
      <c r="BU128" s="709"/>
      <c r="BV128" s="709"/>
      <c r="BW128" s="709"/>
      <c r="BX128" s="709"/>
      <c r="BY128" s="709"/>
      <c r="BZ128" s="709"/>
      <c r="CA128" s="709"/>
      <c r="CB128" s="709"/>
      <c r="CC128" s="709" t="s">
        <v>422</v>
      </c>
      <c r="CD128" s="709"/>
      <c r="CE128" s="709"/>
      <c r="CF128" s="709"/>
      <c r="CG128" s="709"/>
      <c r="CH128" s="709"/>
      <c r="CI128" s="709"/>
      <c r="CJ128" s="709"/>
      <c r="CK128" s="709"/>
      <c r="CL128" s="709"/>
      <c r="CM128" s="709"/>
      <c r="CN128" s="709"/>
      <c r="CO128" s="709"/>
      <c r="CP128" s="711" t="s">
        <v>422</v>
      </c>
      <c r="CQ128" s="709"/>
      <c r="CR128" s="709"/>
      <c r="CS128" s="709"/>
      <c r="CT128" s="709"/>
      <c r="CU128" s="709"/>
      <c r="CV128" s="709"/>
      <c r="CW128" s="709"/>
      <c r="CX128" s="709"/>
      <c r="CY128" s="709"/>
      <c r="CZ128" s="709"/>
      <c r="DA128" s="709"/>
      <c r="DB128" s="709"/>
      <c r="DC128" s="711" t="s">
        <v>422</v>
      </c>
      <c r="DD128" s="709"/>
      <c r="DE128" s="709"/>
      <c r="DF128" s="709"/>
      <c r="DG128" s="709"/>
      <c r="DH128" s="709"/>
      <c r="DI128" s="709"/>
      <c r="DJ128" s="709"/>
      <c r="DK128" s="709"/>
      <c r="DL128" s="709"/>
      <c r="DM128" s="709"/>
      <c r="DN128" s="709"/>
      <c r="DO128" s="710"/>
    </row>
    <row r="129" spans="2:120" ht="12.75" customHeight="1" thickBot="1">
      <c r="C129" s="398"/>
      <c r="D129" s="389"/>
      <c r="F129" s="33"/>
      <c r="G129" s="33"/>
      <c r="H129" s="19"/>
      <c r="I129" s="170"/>
      <c r="J129" s="170"/>
      <c r="K129" s="170"/>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row>
    <row r="130" spans="2:120" ht="12.75" customHeight="1" thickBot="1">
      <c r="C130" s="399"/>
      <c r="D130" s="389"/>
      <c r="F130" s="33"/>
      <c r="G130" s="33"/>
      <c r="H130" s="19"/>
      <c r="I130" s="403">
        <f>SUBTOTAL(9,I10:I115)</f>
        <v>7365947.1999999983</v>
      </c>
      <c r="J130" s="401">
        <f>SUBTOTAL(9,J10:J115)</f>
        <v>0</v>
      </c>
      <c r="K130" s="402">
        <f>SUBTOTAL(9,K10:K115)</f>
        <v>106202876</v>
      </c>
      <c r="L130" s="389">
        <v>37.159999999999997</v>
      </c>
      <c r="M130" s="451"/>
      <c r="N130" s="45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row>
    <row r="131" spans="2:120" ht="17.25" customHeight="1" thickBot="1">
      <c r="C131" s="399"/>
      <c r="D131" s="389"/>
      <c r="F131" s="33"/>
      <c r="G131" s="33"/>
      <c r="H131" s="19"/>
      <c r="I131" s="667">
        <f>I130+(J130*L131)+(K130/L130)</f>
        <v>10223936.328094725</v>
      </c>
      <c r="J131" s="668"/>
      <c r="K131" s="669"/>
      <c r="L131" s="389">
        <v>0.93799999999999994</v>
      </c>
      <c r="M131" s="451"/>
      <c r="N131" s="45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row>
    <row r="132" spans="2:120" ht="15.75" thickBot="1">
      <c r="F132" s="33"/>
      <c r="G132" s="33"/>
    </row>
    <row r="133" spans="2:120" ht="17.25" customHeight="1" thickBot="1">
      <c r="C133" s="77" t="s">
        <v>33</v>
      </c>
      <c r="D133" s="385"/>
      <c r="E133" s="541"/>
      <c r="F133" s="52" t="s">
        <v>0</v>
      </c>
    </row>
    <row r="134" spans="2:120" ht="17.25" customHeight="1" thickBot="1">
      <c r="B134" s="7"/>
      <c r="C134" s="231" t="s">
        <v>49</v>
      </c>
      <c r="D134" s="386"/>
      <c r="E134" s="229"/>
      <c r="F134" s="53" t="s">
        <v>15</v>
      </c>
      <c r="DP134" s="8"/>
    </row>
    <row r="135" spans="2:120" ht="17.25" customHeight="1" thickBot="1">
      <c r="B135" s="7"/>
      <c r="C135" s="232" t="s">
        <v>47</v>
      </c>
      <c r="D135" s="386"/>
      <c r="E135" s="229"/>
      <c r="F135" s="54" t="s">
        <v>1</v>
      </c>
      <c r="DP135" s="8"/>
    </row>
    <row r="136" spans="2:120" ht="17.25" customHeight="1" thickBot="1">
      <c r="B136" s="7"/>
      <c r="C136" s="232" t="s">
        <v>442</v>
      </c>
      <c r="D136" s="386"/>
      <c r="E136" s="229"/>
      <c r="F136" s="599" t="s">
        <v>7</v>
      </c>
      <c r="DP136" s="8"/>
    </row>
    <row r="137" spans="2:120" ht="17.25" customHeight="1">
      <c r="B137" s="7"/>
      <c r="C137" s="232" t="s">
        <v>443</v>
      </c>
      <c r="D137" s="386"/>
      <c r="E137" s="394"/>
      <c r="F137" s="1"/>
      <c r="DP137" s="8"/>
    </row>
    <row r="138" spans="2:120" ht="17.25" customHeight="1">
      <c r="B138" s="7"/>
      <c r="C138" s="232" t="s">
        <v>83</v>
      </c>
      <c r="D138" s="386"/>
      <c r="E138" s="394"/>
      <c r="F138" s="1"/>
      <c r="G138" s="1"/>
      <c r="DP138" s="8"/>
    </row>
    <row r="139" spans="2:120" ht="17.25" customHeight="1">
      <c r="B139" s="7"/>
      <c r="C139" s="232" t="s">
        <v>104</v>
      </c>
      <c r="D139" s="386"/>
      <c r="E139" s="394"/>
      <c r="F139" s="1"/>
      <c r="G139" s="1"/>
      <c r="DP139" s="8"/>
    </row>
    <row r="140" spans="2:120" ht="17.25" customHeight="1">
      <c r="B140" s="7"/>
      <c r="C140" s="232" t="s">
        <v>103</v>
      </c>
      <c r="D140" s="386"/>
      <c r="E140" s="394"/>
      <c r="F140" s="1"/>
      <c r="G140" s="1"/>
      <c r="DP140" s="8"/>
    </row>
    <row r="141" spans="2:120" ht="17.25" customHeight="1">
      <c r="B141" s="7"/>
      <c r="C141" s="232" t="s">
        <v>482</v>
      </c>
      <c r="D141" s="386"/>
      <c r="E141" s="394"/>
      <c r="F141" s="1"/>
      <c r="G141" s="1"/>
      <c r="DP141" s="8"/>
    </row>
    <row r="142" spans="2:120" ht="17.25" customHeight="1">
      <c r="B142" s="7"/>
      <c r="C142" s="232" t="s">
        <v>483</v>
      </c>
      <c r="D142" s="386"/>
      <c r="E142" s="394"/>
      <c r="F142" s="1"/>
      <c r="G142" s="1"/>
      <c r="DP142" s="8"/>
    </row>
    <row r="143" spans="2:120" ht="17.25" customHeight="1">
      <c r="B143" s="7"/>
      <c r="C143" s="232" t="s">
        <v>134</v>
      </c>
      <c r="D143" s="386"/>
      <c r="E143" s="394"/>
      <c r="F143" s="1"/>
      <c r="G143" s="1"/>
      <c r="DP143" s="8"/>
    </row>
    <row r="144" spans="2:120" ht="17.25" customHeight="1">
      <c r="B144" s="7"/>
      <c r="C144" s="232" t="s">
        <v>133</v>
      </c>
      <c r="D144" s="386"/>
      <c r="E144" s="394"/>
      <c r="F144" s="1"/>
      <c r="G144" s="1"/>
      <c r="DP144" s="8"/>
    </row>
    <row r="145" spans="2:120" ht="17.25" customHeight="1">
      <c r="B145" s="7"/>
      <c r="C145" s="232" t="s">
        <v>135</v>
      </c>
      <c r="D145" s="386"/>
      <c r="E145" s="394"/>
      <c r="F145" s="1"/>
      <c r="G145" s="1"/>
      <c r="DP145" s="8"/>
    </row>
    <row r="146" spans="2:120" ht="17.25" customHeight="1">
      <c r="B146" s="7"/>
      <c r="C146" s="233" t="s">
        <v>48</v>
      </c>
      <c r="D146" s="49"/>
      <c r="E146" s="394"/>
      <c r="F146" s="1"/>
      <c r="G146" s="1"/>
      <c r="DP146" s="8"/>
    </row>
    <row r="147" spans="2:120" ht="17.25" customHeight="1">
      <c r="B147" s="1"/>
      <c r="C147" s="234" t="s">
        <v>56</v>
      </c>
      <c r="D147" s="387"/>
      <c r="E147" s="542"/>
      <c r="F147" s="1"/>
      <c r="G147" s="1"/>
      <c r="H147" s="1"/>
      <c r="I147" s="1"/>
      <c r="J147" s="1"/>
      <c r="K147" s="1"/>
      <c r="L147" s="1"/>
      <c r="M147" s="452"/>
      <c r="N147" s="452"/>
    </row>
    <row r="148" spans="2:120" ht="17.25" customHeight="1">
      <c r="C148" s="234" t="s">
        <v>208</v>
      </c>
      <c r="D148" s="388"/>
      <c r="E148" s="543"/>
      <c r="F148" s="74"/>
      <c r="G148" s="74"/>
    </row>
    <row r="149" spans="2:120" ht="17.25" customHeight="1">
      <c r="B149" s="7"/>
      <c r="C149" s="234" t="s">
        <v>57</v>
      </c>
      <c r="D149" s="49"/>
      <c r="E149" s="394"/>
      <c r="F149" s="19"/>
      <c r="G149" s="19"/>
      <c r="DP149" s="8"/>
    </row>
    <row r="150" spans="2:120" ht="17.25" customHeight="1">
      <c r="B150" s="7"/>
      <c r="C150" s="234" t="s">
        <v>58</v>
      </c>
      <c r="D150" s="49"/>
      <c r="E150" s="394"/>
      <c r="F150" s="19"/>
      <c r="G150" s="19"/>
      <c r="DP150" s="6"/>
    </row>
    <row r="151" spans="2:120" ht="17.25" customHeight="1">
      <c r="B151" s="7"/>
      <c r="C151" s="235" t="s">
        <v>59</v>
      </c>
      <c r="D151" s="49"/>
      <c r="E151" s="394"/>
      <c r="F151" s="19"/>
      <c r="G151" s="19"/>
      <c r="DP151" s="6"/>
    </row>
    <row r="152" spans="2:120" ht="17.25" customHeight="1">
      <c r="C152" s="234" t="s">
        <v>60</v>
      </c>
      <c r="D152" s="49"/>
      <c r="E152" s="394"/>
    </row>
    <row r="153" spans="2:120" ht="17.25" customHeight="1">
      <c r="C153" s="234" t="s">
        <v>114</v>
      </c>
      <c r="D153" s="49"/>
      <c r="E153" s="394"/>
    </row>
    <row r="154" spans="2:120" ht="17.25" customHeight="1">
      <c r="C154" s="234" t="s">
        <v>136</v>
      </c>
      <c r="D154" s="49"/>
      <c r="E154" s="394"/>
    </row>
    <row r="155" spans="2:120" ht="17.25" customHeight="1">
      <c r="C155" s="234" t="s">
        <v>137</v>
      </c>
      <c r="D155" s="49"/>
      <c r="E155" s="394"/>
    </row>
    <row r="156" spans="2:120" ht="15">
      <c r="C156" s="234" t="s">
        <v>139</v>
      </c>
      <c r="D156" s="49"/>
      <c r="E156" s="394"/>
    </row>
    <row r="157" spans="2:120" ht="15">
      <c r="C157" s="234" t="s">
        <v>140</v>
      </c>
      <c r="D157" s="49"/>
      <c r="E157" s="394"/>
    </row>
    <row r="158" spans="2:120" ht="15">
      <c r="C158" s="236" t="s">
        <v>67</v>
      </c>
      <c r="D158" s="50"/>
      <c r="E158" s="394"/>
    </row>
    <row r="159" spans="2:120" ht="15">
      <c r="C159" s="237" t="s">
        <v>195</v>
      </c>
      <c r="D159" s="50"/>
      <c r="E159" s="394"/>
    </row>
    <row r="160" spans="2:120" ht="15">
      <c r="C160" s="237" t="s">
        <v>196</v>
      </c>
      <c r="D160" s="50"/>
      <c r="E160" s="394"/>
    </row>
    <row r="161" spans="3:41" ht="15">
      <c r="C161" s="237" t="s">
        <v>95</v>
      </c>
      <c r="D161" s="50"/>
      <c r="E161" s="394"/>
    </row>
    <row r="162" spans="3:41" ht="15">
      <c r="C162" s="237" t="s">
        <v>62</v>
      </c>
      <c r="D162" s="50"/>
      <c r="E162" s="394"/>
    </row>
    <row r="163" spans="3:41" ht="15">
      <c r="C163" s="237" t="s">
        <v>141</v>
      </c>
      <c r="D163" s="50"/>
      <c r="E163" s="394"/>
    </row>
    <row r="164" spans="3:41" ht="15">
      <c r="C164" s="237" t="s">
        <v>142</v>
      </c>
      <c r="D164" s="50"/>
      <c r="E164" s="394"/>
    </row>
    <row r="165" spans="3:41" ht="15">
      <c r="C165" s="237" t="s">
        <v>143</v>
      </c>
      <c r="D165" s="50"/>
      <c r="E165" s="394"/>
    </row>
    <row r="166" spans="3:41" ht="15">
      <c r="C166" s="237" t="s">
        <v>63</v>
      </c>
      <c r="D166" s="50"/>
      <c r="E166" s="394"/>
    </row>
    <row r="167" spans="3:41" ht="15">
      <c r="C167" s="237" t="s">
        <v>74</v>
      </c>
      <c r="D167" s="50"/>
      <c r="E167" s="394"/>
    </row>
    <row r="168" spans="3:41" ht="15">
      <c r="C168" s="237" t="s">
        <v>75</v>
      </c>
      <c r="D168" s="50"/>
      <c r="E168" s="394"/>
    </row>
    <row r="169" spans="3:41" ht="15">
      <c r="C169" s="237" t="s">
        <v>50</v>
      </c>
      <c r="D169" s="50"/>
      <c r="E169" s="394"/>
    </row>
    <row r="170" spans="3:41" ht="15">
      <c r="C170" s="237" t="s">
        <v>458</v>
      </c>
      <c r="D170" s="50"/>
      <c r="E170" s="394"/>
    </row>
    <row r="171" spans="3:41" ht="15">
      <c r="C171" s="236" t="s">
        <v>518</v>
      </c>
      <c r="D171" s="50"/>
      <c r="E171" s="394"/>
      <c r="AO171" s="566"/>
    </row>
    <row r="172" spans="3:41" ht="15">
      <c r="C172" s="237" t="s">
        <v>520</v>
      </c>
      <c r="D172" s="50"/>
      <c r="E172" s="394"/>
      <c r="AO172" s="566"/>
    </row>
    <row r="173" spans="3:41" ht="15">
      <c r="C173" s="237" t="s">
        <v>540</v>
      </c>
      <c r="D173" s="569"/>
      <c r="E173" s="394"/>
      <c r="AO173" s="566"/>
    </row>
    <row r="174" spans="3:41" ht="15">
      <c r="C174" s="237" t="s">
        <v>521</v>
      </c>
      <c r="D174" s="50"/>
      <c r="E174" s="394"/>
      <c r="AO174" s="566"/>
    </row>
    <row r="175" spans="3:41" ht="15">
      <c r="C175" s="237" t="s">
        <v>522</v>
      </c>
      <c r="D175" s="50"/>
      <c r="E175" s="394"/>
      <c r="AO175" s="566"/>
    </row>
    <row r="176" spans="3:41" ht="15">
      <c r="C176" s="237" t="s">
        <v>574</v>
      </c>
      <c r="D176" s="50"/>
      <c r="E176" s="394"/>
      <c r="AO176" s="566"/>
    </row>
    <row r="177" spans="3:41" ht="15">
      <c r="C177" s="237" t="s">
        <v>523</v>
      </c>
      <c r="D177" s="50"/>
      <c r="E177" s="394"/>
      <c r="AO177" s="566"/>
    </row>
    <row r="178" spans="3:41" ht="15">
      <c r="C178" s="237" t="s">
        <v>524</v>
      </c>
      <c r="D178" s="50"/>
      <c r="E178" s="394"/>
      <c r="AO178" s="566"/>
    </row>
    <row r="179" spans="3:41" ht="15">
      <c r="C179" s="238" t="s">
        <v>173</v>
      </c>
      <c r="D179" s="229"/>
      <c r="E179" s="394"/>
      <c r="AO179" s="566"/>
    </row>
    <row r="180" spans="3:41" ht="15">
      <c r="C180" s="230" t="s">
        <v>209</v>
      </c>
      <c r="D180" s="229"/>
      <c r="E180" s="394"/>
      <c r="AO180" s="566"/>
    </row>
    <row r="181" spans="3:41" ht="15">
      <c r="C181" s="230" t="s">
        <v>210</v>
      </c>
      <c r="D181" s="229"/>
      <c r="E181" s="394"/>
      <c r="AO181" s="566"/>
    </row>
    <row r="182" spans="3:41" ht="15">
      <c r="C182" s="230" t="s">
        <v>155</v>
      </c>
      <c r="D182" s="229"/>
      <c r="E182" s="394"/>
      <c r="AO182" s="566"/>
    </row>
    <row r="183" spans="3:41" ht="15">
      <c r="C183" s="230" t="s">
        <v>156</v>
      </c>
      <c r="D183" s="229"/>
      <c r="E183" s="394"/>
    </row>
    <row r="184" spans="3:41" ht="15">
      <c r="C184" s="230"/>
      <c r="D184" s="229"/>
      <c r="E184" s="394"/>
    </row>
    <row r="185" spans="3:41" ht="15">
      <c r="C185" s="238" t="s">
        <v>174</v>
      </c>
      <c r="D185" s="229"/>
      <c r="E185" s="394"/>
    </row>
    <row r="186" spans="3:41" ht="15">
      <c r="C186" s="230" t="s">
        <v>120</v>
      </c>
      <c r="D186" s="229"/>
      <c r="E186" s="394"/>
    </row>
    <row r="187" spans="3:41" ht="15">
      <c r="C187" s="230" t="s">
        <v>170</v>
      </c>
      <c r="D187" s="229"/>
      <c r="E187" s="394"/>
    </row>
    <row r="188" spans="3:41" ht="15">
      <c r="C188" s="230" t="s">
        <v>166</v>
      </c>
      <c r="D188" s="229"/>
      <c r="E188" s="394"/>
    </row>
    <row r="189" spans="3:41" ht="15">
      <c r="C189" s="230" t="s">
        <v>168</v>
      </c>
      <c r="D189" s="229"/>
      <c r="E189" s="394"/>
    </row>
    <row r="190" spans="3:41" ht="15">
      <c r="C190" s="230" t="s">
        <v>163</v>
      </c>
      <c r="D190" s="229"/>
      <c r="E190" s="394"/>
    </row>
    <row r="191" spans="3:41" ht="15">
      <c r="C191" s="230" t="s">
        <v>169</v>
      </c>
      <c r="D191" s="229"/>
      <c r="E191" s="394"/>
    </row>
    <row r="192" spans="3:41" ht="15">
      <c r="C192" s="230" t="s">
        <v>167</v>
      </c>
      <c r="D192" s="229"/>
      <c r="E192" s="394"/>
    </row>
    <row r="193" spans="3:5" ht="15">
      <c r="C193" s="230" t="s">
        <v>164</v>
      </c>
      <c r="D193" s="229"/>
      <c r="E193" s="394"/>
    </row>
    <row r="194" spans="3:5" ht="15">
      <c r="C194" s="230" t="s">
        <v>165</v>
      </c>
      <c r="D194" s="229"/>
      <c r="E194" s="394"/>
    </row>
    <row r="195" spans="3:5" ht="15">
      <c r="C195" s="238" t="s">
        <v>175</v>
      </c>
      <c r="D195" s="229"/>
      <c r="E195" s="394"/>
    </row>
    <row r="196" spans="3:5" ht="15">
      <c r="C196" s="230" t="s">
        <v>148</v>
      </c>
      <c r="D196" s="229"/>
      <c r="E196" s="394"/>
    </row>
    <row r="197" spans="3:5" ht="15">
      <c r="C197" s="230" t="s">
        <v>149</v>
      </c>
      <c r="D197" s="229"/>
      <c r="E197" s="394"/>
    </row>
    <row r="198" spans="3:5" ht="15">
      <c r="C198" s="230" t="s">
        <v>150</v>
      </c>
      <c r="D198" s="229"/>
      <c r="E198" s="394"/>
    </row>
    <row r="199" spans="3:5" ht="15">
      <c r="C199" s="230" t="s">
        <v>151</v>
      </c>
      <c r="D199" s="229"/>
      <c r="E199" s="394"/>
    </row>
    <row r="200" spans="3:5" ht="15">
      <c r="C200" s="233" t="s">
        <v>51</v>
      </c>
      <c r="D200" s="49"/>
      <c r="E200" s="394"/>
    </row>
    <row r="201" spans="3:5" ht="15">
      <c r="C201" s="234" t="s">
        <v>147</v>
      </c>
      <c r="D201" s="49"/>
      <c r="E201" s="394"/>
    </row>
    <row r="202" spans="3:5" ht="15">
      <c r="C202" s="234" t="s">
        <v>211</v>
      </c>
      <c r="D202" s="49"/>
      <c r="E202" s="394"/>
    </row>
    <row r="203" spans="3:5" ht="15">
      <c r="C203" s="234" t="s">
        <v>212</v>
      </c>
      <c r="D203" s="49"/>
      <c r="E203" s="394"/>
    </row>
    <row r="204" spans="3:5" ht="15">
      <c r="C204" s="234" t="s">
        <v>115</v>
      </c>
      <c r="D204" s="49"/>
      <c r="E204" s="394"/>
    </row>
    <row r="205" spans="3:5" ht="15.75" thickBot="1">
      <c r="C205" s="239" t="s">
        <v>116</v>
      </c>
      <c r="D205" s="51"/>
      <c r="E205" s="394"/>
    </row>
    <row r="206" spans="3:5">
      <c r="E206" s="116"/>
    </row>
    <row r="207" spans="3:5">
      <c r="E207" s="116"/>
    </row>
    <row r="209" spans="3:6">
      <c r="C209" s="75">
        <v>6</v>
      </c>
      <c r="D209" s="2">
        <v>2400</v>
      </c>
      <c r="F209" s="5">
        <f t="shared" ref="F209:F214" si="0">C209*D209</f>
        <v>14400</v>
      </c>
    </row>
    <row r="210" spans="3:6">
      <c r="C210" s="75">
        <v>5</v>
      </c>
      <c r="D210" s="2">
        <v>2400</v>
      </c>
      <c r="F210" s="5">
        <f t="shared" si="0"/>
        <v>12000</v>
      </c>
    </row>
    <row r="211" spans="3:6">
      <c r="C211" s="75">
        <v>4</v>
      </c>
      <c r="D211" s="2">
        <v>2400</v>
      </c>
      <c r="F211" s="5">
        <f t="shared" si="0"/>
        <v>9600</v>
      </c>
    </row>
    <row r="212" spans="3:6">
      <c r="C212" s="75">
        <v>3</v>
      </c>
      <c r="D212" s="2">
        <v>2400</v>
      </c>
      <c r="F212" s="5">
        <f t="shared" si="0"/>
        <v>7200</v>
      </c>
    </row>
    <row r="213" spans="3:6">
      <c r="C213" s="75">
        <v>2</v>
      </c>
      <c r="D213" s="2">
        <v>2400</v>
      </c>
      <c r="F213" s="5">
        <f t="shared" si="0"/>
        <v>4800</v>
      </c>
    </row>
    <row r="214" spans="3:6">
      <c r="C214" s="75">
        <v>1</v>
      </c>
      <c r="D214" s="2">
        <v>2400</v>
      </c>
      <c r="F214" s="5">
        <f t="shared" si="0"/>
        <v>2400</v>
      </c>
    </row>
    <row r="215" spans="3:6">
      <c r="F215" s="5">
        <f>SUM(F209:F214)</f>
        <v>50400</v>
      </c>
    </row>
  </sheetData>
  <sheetProtection formatCells="0" formatColumns="0" formatRows="0" insertColumns="0" insertRows="0" insertHyperlinks="0" deleteColumns="0" deleteRows="0" sort="0" autoFilter="0" pivotTables="0"/>
  <autoFilter ref="E8:H124" xr:uid="{00000000-0001-0000-0000-000000000000}"/>
  <mergeCells count="242">
    <mergeCell ref="I77:I83"/>
    <mergeCell ref="J77:J83"/>
    <mergeCell ref="K77:K83"/>
    <mergeCell ref="L77:L83"/>
    <mergeCell ref="M77:M83"/>
    <mergeCell ref="N77:N83"/>
    <mergeCell ref="DP77:DP82"/>
    <mergeCell ref="G81:G82"/>
    <mergeCell ref="I62:I68"/>
    <mergeCell ref="J62:J68"/>
    <mergeCell ref="K62:K68"/>
    <mergeCell ref="L62:L68"/>
    <mergeCell ref="M62:M68"/>
    <mergeCell ref="N62:N68"/>
    <mergeCell ref="DP62:DP67"/>
    <mergeCell ref="G66:G67"/>
    <mergeCell ref="C70:D75"/>
    <mergeCell ref="E70:E75"/>
    <mergeCell ref="G70:G71"/>
    <mergeCell ref="I70:I74"/>
    <mergeCell ref="J70:J74"/>
    <mergeCell ref="K70:K74"/>
    <mergeCell ref="L70:L74"/>
    <mergeCell ref="M70:M74"/>
    <mergeCell ref="N70:N74"/>
    <mergeCell ref="DP70:DP71"/>
    <mergeCell ref="G72:G73"/>
    <mergeCell ref="AB128:AN128"/>
    <mergeCell ref="BB127:BF127"/>
    <mergeCell ref="CP127:CS127"/>
    <mergeCell ref="CX127:DB127"/>
    <mergeCell ref="G53:G54"/>
    <mergeCell ref="DP44:DP50"/>
    <mergeCell ref="C53:D54"/>
    <mergeCell ref="BP6:CA6"/>
    <mergeCell ref="N44:N51"/>
    <mergeCell ref="L34:L41"/>
    <mergeCell ref="K20:K21"/>
    <mergeCell ref="BB6:BO6"/>
    <mergeCell ref="AO6:BA6"/>
    <mergeCell ref="CP6:DB6"/>
    <mergeCell ref="CC6:CO6"/>
    <mergeCell ref="DC6:DO6"/>
    <mergeCell ref="DC7:DF7"/>
    <mergeCell ref="DG7:DJ7"/>
    <mergeCell ref="DK7:DO7"/>
    <mergeCell ref="CC7:CF7"/>
    <mergeCell ref="J53:J54"/>
    <mergeCell ref="I44:I51"/>
    <mergeCell ref="J24:J25"/>
    <mergeCell ref="I22:I23"/>
    <mergeCell ref="J18:J19"/>
    <mergeCell ref="K26:K31"/>
    <mergeCell ref="J26:J31"/>
    <mergeCell ref="K22:K23"/>
    <mergeCell ref="J20:J21"/>
    <mergeCell ref="K24:K25"/>
    <mergeCell ref="J10:J16"/>
    <mergeCell ref="N116:N121"/>
    <mergeCell ref="DC128:DO128"/>
    <mergeCell ref="K44:K51"/>
    <mergeCell ref="DG127:DJ127"/>
    <mergeCell ref="DK127:DO127"/>
    <mergeCell ref="M10:M16"/>
    <mergeCell ref="M34:M41"/>
    <mergeCell ref="DC127:DF127"/>
    <mergeCell ref="L18:L19"/>
    <mergeCell ref="K10:K16"/>
    <mergeCell ref="L44:L51"/>
    <mergeCell ref="L53:L54"/>
    <mergeCell ref="K18:K19"/>
    <mergeCell ref="L10:L16"/>
    <mergeCell ref="N101:N107"/>
    <mergeCell ref="N26:N31"/>
    <mergeCell ref="L20:L21"/>
    <mergeCell ref="N34:N41"/>
    <mergeCell ref="N10:N16"/>
    <mergeCell ref="DP112:DP115"/>
    <mergeCell ref="DP34:DP40"/>
    <mergeCell ref="DP86:DP91"/>
    <mergeCell ref="DP26:DP30"/>
    <mergeCell ref="DP101:DP106"/>
    <mergeCell ref="N86:N92"/>
    <mergeCell ref="M101:M107"/>
    <mergeCell ref="DP55:DP58"/>
    <mergeCell ref="N94:N98"/>
    <mergeCell ref="M94:M98"/>
    <mergeCell ref="M55:M59"/>
    <mergeCell ref="M26:M31"/>
    <mergeCell ref="DP10:DP15"/>
    <mergeCell ref="DP116:DP120"/>
    <mergeCell ref="DP94:DP95"/>
    <mergeCell ref="M44:M51"/>
    <mergeCell ref="M86:M92"/>
    <mergeCell ref="N55:N59"/>
    <mergeCell ref="CC128:CO128"/>
    <mergeCell ref="CP128:DB128"/>
    <mergeCell ref="AG127:AJ127"/>
    <mergeCell ref="O128:AA128"/>
    <mergeCell ref="AO128:BA128"/>
    <mergeCell ref="T127:W127"/>
    <mergeCell ref="BP128:CB128"/>
    <mergeCell ref="AO127:AS127"/>
    <mergeCell ref="X127:AA127"/>
    <mergeCell ref="O127:S127"/>
    <mergeCell ref="AB127:AF127"/>
    <mergeCell ref="BB128:BO128"/>
    <mergeCell ref="BG127:BJ127"/>
    <mergeCell ref="BK127:BO127"/>
    <mergeCell ref="BT127:BW127"/>
    <mergeCell ref="AK127:AN127"/>
    <mergeCell ref="BP127:BS127"/>
    <mergeCell ref="CK127:CO127"/>
    <mergeCell ref="CT127:CW127"/>
    <mergeCell ref="BX127:CB127"/>
    <mergeCell ref="CC127:CF127"/>
    <mergeCell ref="CP7:CS7"/>
    <mergeCell ref="BX7:CB7"/>
    <mergeCell ref="AK7:AN7"/>
    <mergeCell ref="BT7:BW7"/>
    <mergeCell ref="CX7:DB7"/>
    <mergeCell ref="BG7:BJ7"/>
    <mergeCell ref="CK7:CO7"/>
    <mergeCell ref="BK7:BO7"/>
    <mergeCell ref="AO7:AS7"/>
    <mergeCell ref="AX7:BA7"/>
    <mergeCell ref="AT7:AW7"/>
    <mergeCell ref="AT127:AW127"/>
    <mergeCell ref="AX127:BA127"/>
    <mergeCell ref="CG127:CJ127"/>
    <mergeCell ref="O5:AN5"/>
    <mergeCell ref="AB6:AN6"/>
    <mergeCell ref="O6:AA6"/>
    <mergeCell ref="BP7:BS7"/>
    <mergeCell ref="BB7:BF7"/>
    <mergeCell ref="AG7:AJ7"/>
    <mergeCell ref="CT7:CW7"/>
    <mergeCell ref="CG7:CJ7"/>
    <mergeCell ref="C8:D8"/>
    <mergeCell ref="AB7:AF7"/>
    <mergeCell ref="I8:K8"/>
    <mergeCell ref="O7:S7"/>
    <mergeCell ref="T7:W7"/>
    <mergeCell ref="X7:AA7"/>
    <mergeCell ref="AO5:CO5"/>
    <mergeCell ref="CP5:DO5"/>
    <mergeCell ref="C18:D19"/>
    <mergeCell ref="I10:I16"/>
    <mergeCell ref="I26:I31"/>
    <mergeCell ref="E26:E32"/>
    <mergeCell ref="G10:G12"/>
    <mergeCell ref="C20:D21"/>
    <mergeCell ref="E44:E52"/>
    <mergeCell ref="E10:E17"/>
    <mergeCell ref="C26:D32"/>
    <mergeCell ref="E34:E42"/>
    <mergeCell ref="I34:I41"/>
    <mergeCell ref="G26:G27"/>
    <mergeCell ref="I18:I19"/>
    <mergeCell ref="C10:D17"/>
    <mergeCell ref="C24:D25"/>
    <mergeCell ref="C22:D23"/>
    <mergeCell ref="C34:D42"/>
    <mergeCell ref="I20:I21"/>
    <mergeCell ref="I24:I25"/>
    <mergeCell ref="G14:G15"/>
    <mergeCell ref="I131:K131"/>
    <mergeCell ref="K34:K41"/>
    <mergeCell ref="I55:I59"/>
    <mergeCell ref="K123:K124"/>
    <mergeCell ref="K86:K92"/>
    <mergeCell ref="J86:J92"/>
    <mergeCell ref="J116:J121"/>
    <mergeCell ref="C44:D52"/>
    <mergeCell ref="G34:G37"/>
    <mergeCell ref="C112:D115"/>
    <mergeCell ref="G112:G114"/>
    <mergeCell ref="I53:I54"/>
    <mergeCell ref="G44:G47"/>
    <mergeCell ref="E94:E99"/>
    <mergeCell ref="C123:D124"/>
    <mergeCell ref="C101:D108"/>
    <mergeCell ref="G96:G97"/>
    <mergeCell ref="G105:G106"/>
    <mergeCell ref="G101:G103"/>
    <mergeCell ref="E112:E115"/>
    <mergeCell ref="C86:D93"/>
    <mergeCell ref="E86:E93"/>
    <mergeCell ref="E55:E60"/>
    <mergeCell ref="C116:D122"/>
    <mergeCell ref="G116:G122"/>
    <mergeCell ref="G94:G95"/>
    <mergeCell ref="B116:B124"/>
    <mergeCell ref="C94:D99"/>
    <mergeCell ref="C55:D60"/>
    <mergeCell ref="C110:D110"/>
    <mergeCell ref="G123:G124"/>
    <mergeCell ref="G55:G56"/>
    <mergeCell ref="E101:E108"/>
    <mergeCell ref="C62:D69"/>
    <mergeCell ref="E62:E69"/>
    <mergeCell ref="G62:G64"/>
    <mergeCell ref="C77:D84"/>
    <mergeCell ref="E77:E84"/>
    <mergeCell ref="G77:G79"/>
    <mergeCell ref="L24:L25"/>
    <mergeCell ref="L22:L23"/>
    <mergeCell ref="G49:G50"/>
    <mergeCell ref="K53:K54"/>
    <mergeCell ref="I86:I92"/>
    <mergeCell ref="L55:L59"/>
    <mergeCell ref="J55:J59"/>
    <mergeCell ref="J94:J98"/>
    <mergeCell ref="K112:K114"/>
    <mergeCell ref="I101:I107"/>
    <mergeCell ref="J101:J107"/>
    <mergeCell ref="L112:L114"/>
    <mergeCell ref="L86:L92"/>
    <mergeCell ref="K55:K59"/>
    <mergeCell ref="I94:I98"/>
    <mergeCell ref="G29:G30"/>
    <mergeCell ref="G39:G40"/>
    <mergeCell ref="G57:G58"/>
    <mergeCell ref="G90:G91"/>
    <mergeCell ref="G86:G88"/>
    <mergeCell ref="J34:J41"/>
    <mergeCell ref="L26:L31"/>
    <mergeCell ref="J22:J23"/>
    <mergeCell ref="J44:J51"/>
    <mergeCell ref="M116:M121"/>
    <mergeCell ref="L116:L121"/>
    <mergeCell ref="K101:K107"/>
    <mergeCell ref="J123:J124"/>
    <mergeCell ref="I116:I121"/>
    <mergeCell ref="I112:I114"/>
    <mergeCell ref="L94:L98"/>
    <mergeCell ref="L101:L107"/>
    <mergeCell ref="K116:K121"/>
    <mergeCell ref="K94:K98"/>
    <mergeCell ref="J112:J114"/>
    <mergeCell ref="L123:L124"/>
    <mergeCell ref="I123:I124"/>
  </mergeCells>
  <phoneticPr fontId="2" type="noConversion"/>
  <conditionalFormatting sqref="F1:F1048576">
    <cfRule type="cellIs" dxfId="7" priority="5" operator="equal">
      <formula>"Done"</formula>
    </cfRule>
    <cfRule type="cellIs" dxfId="6" priority="6" operator="equal">
      <formula>"Delay"</formula>
    </cfRule>
    <cfRule type="cellIs" dxfId="5" priority="7" operator="equal">
      <formula>"Actual"</formula>
    </cfRule>
    <cfRule type="cellIs" dxfId="4" priority="8" operator="equal">
      <formula>"Planned"</formula>
    </cfRule>
  </conditionalFormatting>
  <conditionalFormatting sqref="H1:H1048576">
    <cfRule type="cellIs" dxfId="3" priority="1" operator="equal">
      <formula>"Done"</formula>
    </cfRule>
    <cfRule type="cellIs" dxfId="2" priority="2" operator="equal">
      <formula>"Delay"</formula>
    </cfRule>
    <cfRule type="cellIs" dxfId="1" priority="3" operator="equal">
      <formula>"Actual"</formula>
    </cfRule>
    <cfRule type="cellIs" dxfId="0" priority="4" operator="equal">
      <formula>"Planned"</formula>
    </cfRule>
  </conditionalFormatting>
  <dataValidations count="2">
    <dataValidation type="list" allowBlank="1" showInputMessage="1" showErrorMessage="1" sqref="H149:H151 H122 H134:H146 F119:F122 F96:F99 H125 H105:H108 F25 F19 F21 F14:F17 F39:F42 F57:F60 F105:F108 F29:F32 F124 G134:G137 F54 F23 F49:F52 F90:F93 H14:H17 F115 H112:H115 H9:H12 H32:H47 H49:H79 H86:H103 F72:F75 H81:H84 F81:F84 F66:F69" xr:uid="{00000000-0002-0000-0000-000000000000}">
      <formula1>status</formula1>
    </dataValidation>
    <dataValidation type="list" allowBlank="1" showInputMessage="1" showErrorMessage="1" sqref="H10 H34 H44 H86 H101 H112 H62 H77" xr:uid="{EDF118FA-0967-4F15-B617-C5480DD713E7}">
      <formula1>"QG status, DONE"</formula1>
    </dataValidation>
  </dataValidations>
  <hyperlinks>
    <hyperlink ref="C101:D108" r:id="rId1" display="../../55733_Galentic_IN_HC5" xr:uid="{3C75285C-DF25-44E3-AE89-F6698346CF0B}"/>
    <hyperlink ref="C86:D93" r:id="rId2" display="../../56090_Mylan Laboratories_IN_SC5-OEM" xr:uid="{5CDBA560-BB1A-4C98-94A5-F34E36022161}"/>
    <hyperlink ref="C10:D17" r:id="rId3" display="../../56060_Henkel Maribor_SI_VI5X" xr:uid="{24688E57-3D87-4701-8F4F-873BF8E0909B}"/>
    <hyperlink ref="C34:D42" r:id="rId4" display="../../56040_RB (Qingdao)_CN_SC5-CondomFeeder" xr:uid="{5896B07E-8487-4434-99CC-F78CED4DD0E6}"/>
    <hyperlink ref="C55:D60" r:id="rId5" display="../../56120_IWK Showroom_TH_FP10" xr:uid="{CCE00585-B1FB-4749-BA4A-14C2ABCE1062}"/>
    <hyperlink ref="C94:D99" r:id="rId6" display="\\th01a2227\!Archiv\54XXX\54590_Winner Cosmed_TH_FP10" xr:uid="{E19E6001-7B11-484E-9626-63A684BEC7F6}"/>
    <hyperlink ref="C112:D115" r:id="rId7" display="../../56300_IWK TH_FP10 Rockwell PLC" xr:uid="{6BE8E211-DD9A-42EC-A812-5FA008C4993F}"/>
    <hyperlink ref="C26:D32" r:id="rId8" display="../../56150_IWK AllPack 2026_TH_CABLIblue" xr:uid="{C1A5247D-A978-43CD-B056-2EDE7A3AE969}"/>
    <hyperlink ref="C44:D52" r:id="rId9" display="../../56000_SSL_TH_SC5-CondomFeeder" xr:uid="{2981DC63-8C79-4012-8CE6-030221639E80}"/>
    <hyperlink ref="C77:D84" r:id="rId10" display="../../55733_Galentic_IN_HC5" xr:uid="{D3440E7D-C164-40B2-ABC0-9F28145939E0}"/>
    <hyperlink ref="C62:D69" r:id="rId11" display="../../56090_Mylan Laboratories_IN_SC5-OEM" xr:uid="{4715469C-1702-4695-8865-8922A5BDB1CB}"/>
    <hyperlink ref="C70:D75" r:id="rId12" display="\\th01a2227\!Archiv\54XXX\54590_Winner Cosmed_TH_FP10" xr:uid="{6B3B582A-FBF6-46D3-A20F-317D6BAE9CE0}"/>
  </hyperlinks>
  <pageMargins left="0.55118110236220474" right="0.55118110236220474" top="0.19685039370078741" bottom="0.39370078740157483" header="0" footer="0"/>
  <pageSetup paperSize="8" scale="47" fitToWidth="0" orientation="portrait" r:id="rId13"/>
  <headerFooter alignWithMargins="0">
    <oddFooter>&amp;L&amp;F&amp;CPage &amp;P of &amp;N&amp;R&amp;D</oddFooter>
  </headerFooter>
  <colBreaks count="1" manualBreakCount="1">
    <brk id="40" max="1390" man="1"/>
  </colBreaks>
  <drawing r:id="rId1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new machines</vt:lpstr>
      <vt:lpstr>Planned</vt:lpstr>
      <vt:lpstr>'new machines'!Print_Area</vt:lpstr>
      <vt:lpstr>'new machines'!Print_Titles</vt:lpstr>
      <vt:lpstr>statua</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Hilmar</dc:creator>
  <cp:lastModifiedBy>Preephim, Chatuphon</cp:lastModifiedBy>
  <cp:lastPrinted>2026-09-21T06:52:59Z</cp:lastPrinted>
  <dcterms:created xsi:type="dcterms:W3CDTF">2010-06-08T02:01:25Z</dcterms:created>
  <dcterms:modified xsi:type="dcterms:W3CDTF">2026-10-12T08:01:03Z</dcterms:modified>
</cp:coreProperties>
</file>